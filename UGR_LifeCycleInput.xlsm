
<file path=[Content_Types].xml><?xml version="1.0" encoding="utf-8"?>
<Types xmlns="http://schemas.openxmlformats.org/package/2006/content-types">
  <Default Extension="png" ContentType="image/png"/>
  <Default Extension="bin" ContentType="application/vnd.ms-office.vbaProject"/>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ml.chartshapes+xml"/>
  <Override PartName="/xl/charts/chart2.xml" ContentType="application/vnd.openxmlformats-officedocument.drawingml.chart+xml"/>
  <Override PartName="/xl/drawings/drawing5.xml" ContentType="application/vnd.openxmlformats-officedocument.drawingml.chartshapes+xml"/>
  <Override PartName="/xl/drawings/drawing6.xml" ContentType="application/vnd.openxmlformats-officedocument.drawing+xml"/>
  <Override PartName="/xl/drawings/drawing7.xml" ContentType="application/vnd.openxmlformats-officedocument.drawing+xml"/>
  <Override PartName="/xl/comments2.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comments4.xml" ContentType="application/vnd.openxmlformats-officedocument.spreadsheetml.comments+xml"/>
  <Override PartName="/xl/drawings/drawing10.xml" ContentType="application/vnd.openxmlformats-officedocument.drawing+xml"/>
  <Override PartName="/xl/comments5.xml" ContentType="application/vnd.openxmlformats-officedocument.spreadsheetml.comments+xml"/>
  <Override PartName="/xl/drawings/drawing11.xml" ContentType="application/vnd.openxmlformats-officedocument.drawing+xml"/>
  <Override PartName="/xl/comments6.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4" codeName="{51196F13-6AD0-C1B8-E2B4-A1F9AE17003E}"/>
  <workbookPr codeName="ThisWorkbook" defaultThemeVersion="166925"/>
  <mc:AlternateContent xmlns:mc="http://schemas.openxmlformats.org/markup-compatibility/2006">
    <mc:Choice Requires="x15">
      <x15ac:absPath xmlns:x15ac="http://schemas.microsoft.com/office/spreadsheetml/2010/11/ac" url="/Users/nick/Documents/NicksSoftware/Life-Cycle-Model/"/>
    </mc:Choice>
  </mc:AlternateContent>
  <xr:revisionPtr revIDLastSave="0" documentId="13_ncr:1_{6005357A-AEE8-8F4B-B4F5-DC78C02AD5C3}" xr6:coauthVersionLast="36" xr6:coauthVersionMax="37" xr10:uidLastSave="{00000000-0000-0000-0000-000000000000}"/>
  <bookViews>
    <workbookView xWindow="960" yWindow="1560" windowWidth="22600" windowHeight="20420" tabRatio="949" activeTab="1" xr2:uid="{BDC6114A-2371-C44B-9A16-408EBE939B3C}"/>
  </bookViews>
  <sheets>
    <sheet name="Model" sheetId="2" r:id="rId1"/>
    <sheet name="Inputs" sheetId="1" r:id="rId2"/>
    <sheet name="Settings" sheetId="8" r:id="rId3"/>
    <sheet name="Scenarios" sheetId="3" r:id="rId4"/>
    <sheet name="Fry_Parr_p" sheetId="22" r:id="rId5"/>
    <sheet name="Fry_Parr_c" sheetId="13" r:id="rId6"/>
    <sheet name="older_Fry_Parr_p" sheetId="19" r:id="rId7"/>
    <sheet name="Fry_Parr_abund" sheetId="7" r:id="rId8"/>
    <sheet name="UpdatedEstimates" sheetId="18" r:id="rId9"/>
    <sheet name="Parr_PreSmolt" sheetId="15" r:id="rId10"/>
    <sheet name="PreSmolt_LGDSmolt_p" sheetId="17" r:id="rId11"/>
    <sheet name="SAR" sheetId="20" r:id="rId12"/>
    <sheet name="old_SAR" sheetId="5" r:id="rId13"/>
    <sheet name="Spawner_Egg_p" sheetId="6" r:id="rId14"/>
    <sheet name="Spawner_Egg_c" sheetId="12" r:id="rId15"/>
    <sheet name="TotalBrood_HatchRelease" sheetId="21" r:id="rId16"/>
    <sheet name="HatchRelease_LGDSmolt" sheetId="9" r:id="rId17"/>
    <sheet name="PassedAdult_Spawner" sheetId="10" r:id="rId18"/>
  </sheets>
  <externalReferences>
    <externalReference r:id="rId19"/>
  </externalReferences>
  <definedNames>
    <definedName name="solver_adj" localSheetId="11" hidden="1">SAR!$N$47:$R$62</definedName>
    <definedName name="solver_cvg" localSheetId="11" hidden="1">0.0001</definedName>
    <definedName name="solver_drv" localSheetId="11" hidden="1">1</definedName>
    <definedName name="solver_eng" localSheetId="11" hidden="1">1</definedName>
    <definedName name="solver_itr" localSheetId="11" hidden="1">2147483647</definedName>
    <definedName name="solver_lhs1" localSheetId="11" hidden="1">SAR!$N$47:$R$62</definedName>
    <definedName name="solver_lhs2" localSheetId="11" hidden="1">SAR!$R$19:$R$37</definedName>
    <definedName name="solver_lin" localSheetId="11" hidden="1">2</definedName>
    <definedName name="solver_mip" localSheetId="11" hidden="1">2147483647</definedName>
    <definedName name="solver_mni" localSheetId="11" hidden="1">30</definedName>
    <definedName name="solver_mrt" localSheetId="11" hidden="1">0.075</definedName>
    <definedName name="solver_msl" localSheetId="11" hidden="1">2</definedName>
    <definedName name="solver_neg" localSheetId="11" hidden="1">1</definedName>
    <definedName name="solver_nod" localSheetId="11" hidden="1">2147483647</definedName>
    <definedName name="solver_num" localSheetId="11" hidden="1">1</definedName>
    <definedName name="solver_opt" localSheetId="11" hidden="1">SAR!$Y$64</definedName>
    <definedName name="solver_pre" localSheetId="11" hidden="1">0.000001</definedName>
    <definedName name="solver_rbv" localSheetId="11" hidden="1">1</definedName>
    <definedName name="solver_rel1" localSheetId="11" hidden="1">1</definedName>
    <definedName name="solver_rel2" localSheetId="11" hidden="1">1</definedName>
    <definedName name="solver_rhs1" localSheetId="11" hidden="1">0.99</definedName>
    <definedName name="solver_rhs2" localSheetId="11" hidden="1">0.99</definedName>
    <definedName name="solver_rlx" localSheetId="11" hidden="1">2</definedName>
    <definedName name="solver_rsd" localSheetId="11" hidden="1">0</definedName>
    <definedName name="solver_scl" localSheetId="11" hidden="1">1</definedName>
    <definedName name="solver_sho" localSheetId="11" hidden="1">2</definedName>
    <definedName name="solver_ssz" localSheetId="11" hidden="1">100</definedName>
    <definedName name="solver_tim" localSheetId="11" hidden="1">2147483647</definedName>
    <definedName name="solver_tol" localSheetId="11" hidden="1">0.01</definedName>
    <definedName name="solver_typ" localSheetId="11" hidden="1">2</definedName>
    <definedName name="solver_val" localSheetId="11" hidden="1">0</definedName>
    <definedName name="solver_ver" localSheetId="11" hidden="1">2</definedName>
  </definedNames>
  <calcPr calcId="17902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E100" i="22" l="1"/>
  <c r="AD100" i="22"/>
  <c r="I100" i="22"/>
  <c r="H100" i="22"/>
  <c r="AE99" i="22"/>
  <c r="AD99" i="22"/>
  <c r="I99" i="22"/>
  <c r="H99" i="22"/>
  <c r="AE98" i="22"/>
  <c r="AD98" i="22"/>
  <c r="I98" i="22"/>
  <c r="H98" i="22"/>
  <c r="AE97" i="22"/>
  <c r="AD97" i="22"/>
  <c r="I97" i="22"/>
  <c r="H97" i="22"/>
  <c r="AE96" i="22"/>
  <c r="AD96" i="22"/>
  <c r="I96" i="22"/>
  <c r="H96" i="22"/>
  <c r="AE95" i="22"/>
  <c r="AD95" i="22"/>
  <c r="I95" i="22"/>
  <c r="H95" i="22"/>
  <c r="AE94" i="22"/>
  <c r="AD94" i="22"/>
  <c r="I94" i="22"/>
  <c r="H94" i="22"/>
  <c r="AE93" i="22"/>
  <c r="AD93" i="22"/>
  <c r="I93" i="22"/>
  <c r="H93" i="22"/>
  <c r="AE92" i="22"/>
  <c r="AD92" i="22"/>
  <c r="I92" i="22"/>
  <c r="H92" i="22"/>
  <c r="AE91" i="22"/>
  <c r="AD91" i="22"/>
  <c r="I91" i="22"/>
  <c r="H91" i="22"/>
  <c r="AE90" i="22"/>
  <c r="AD90" i="22"/>
  <c r="I90" i="22"/>
  <c r="H90" i="22"/>
  <c r="AE89" i="22"/>
  <c r="AD89" i="22"/>
  <c r="I89" i="22"/>
  <c r="H89" i="22"/>
  <c r="AE88" i="22"/>
  <c r="AD88" i="22"/>
  <c r="I88" i="22"/>
  <c r="H88" i="22"/>
  <c r="AE87" i="22"/>
  <c r="AD87" i="22"/>
  <c r="I87" i="22"/>
  <c r="H87" i="22"/>
  <c r="AE86" i="22"/>
  <c r="AD86" i="22"/>
  <c r="I86" i="22"/>
  <c r="H86" i="22"/>
  <c r="AE85" i="22"/>
  <c r="AD85" i="22"/>
  <c r="I85" i="22"/>
  <c r="H85" i="22"/>
  <c r="AE84" i="22"/>
  <c r="AD84" i="22"/>
  <c r="I84" i="22"/>
  <c r="H84" i="22"/>
  <c r="AE83" i="22"/>
  <c r="AD83" i="22"/>
  <c r="I83" i="22"/>
  <c r="H83" i="22"/>
  <c r="AE82" i="22"/>
  <c r="AD82" i="22"/>
  <c r="I82" i="22"/>
  <c r="H82" i="22"/>
  <c r="AE81" i="22"/>
  <c r="AD81" i="22"/>
  <c r="I81" i="22"/>
  <c r="H81" i="22"/>
  <c r="AE80" i="22"/>
  <c r="AD80" i="22"/>
  <c r="I80" i="22"/>
  <c r="H80" i="22"/>
  <c r="AE79" i="22"/>
  <c r="AD79" i="22"/>
  <c r="I79" i="22"/>
  <c r="H79" i="22"/>
  <c r="AE78" i="22"/>
  <c r="AD78" i="22"/>
  <c r="I78" i="22"/>
  <c r="H78" i="22"/>
  <c r="AE77" i="22"/>
  <c r="AD77" i="22"/>
  <c r="I77" i="22"/>
  <c r="H77" i="22"/>
  <c r="AE76" i="22"/>
  <c r="AD76" i="22"/>
  <c r="I76" i="22"/>
  <c r="H76" i="22"/>
  <c r="AE75" i="22"/>
  <c r="AD75" i="22"/>
  <c r="I75" i="22"/>
  <c r="H75" i="22"/>
  <c r="AE74" i="22"/>
  <c r="AD74" i="22"/>
  <c r="I74" i="22"/>
  <c r="H74" i="22"/>
  <c r="AE73" i="22"/>
  <c r="AD73" i="22"/>
  <c r="I73" i="22"/>
  <c r="H73" i="22"/>
  <c r="AE72" i="22"/>
  <c r="AD72" i="22"/>
  <c r="I72" i="22"/>
  <c r="H72" i="22"/>
  <c r="AE71" i="22"/>
  <c r="AD71" i="22"/>
  <c r="I71" i="22"/>
  <c r="H71" i="22"/>
  <c r="AE70" i="22"/>
  <c r="AD70" i="22"/>
  <c r="I70" i="22"/>
  <c r="H70" i="22"/>
  <c r="AE69" i="22"/>
  <c r="AD69" i="22"/>
  <c r="I69" i="22"/>
  <c r="H69" i="22"/>
  <c r="AE68" i="22"/>
  <c r="AD68" i="22"/>
  <c r="I68" i="22"/>
  <c r="H68" i="22"/>
  <c r="AE67" i="22"/>
  <c r="AD67" i="22"/>
  <c r="I67" i="22"/>
  <c r="H67" i="22"/>
  <c r="AE66" i="22"/>
  <c r="AD66" i="22"/>
  <c r="I66" i="22"/>
  <c r="H66" i="22"/>
  <c r="AE65" i="22"/>
  <c r="AD65" i="22"/>
  <c r="I65" i="22"/>
  <c r="H65" i="22"/>
  <c r="AE64" i="22"/>
  <c r="AD64" i="22"/>
  <c r="I64" i="22"/>
  <c r="H64" i="22"/>
  <c r="AE63" i="22"/>
  <c r="AD63" i="22"/>
  <c r="I63" i="22"/>
  <c r="H63" i="22"/>
  <c r="AE62" i="22"/>
  <c r="AD62" i="22"/>
  <c r="I62" i="22"/>
  <c r="H62" i="22"/>
  <c r="AE61" i="22"/>
  <c r="AD61" i="22"/>
  <c r="I61" i="22"/>
  <c r="H61" i="22"/>
  <c r="AE60" i="22"/>
  <c r="AD60" i="22"/>
  <c r="I60" i="22"/>
  <c r="H60" i="22"/>
  <c r="AE59" i="22"/>
  <c r="AD59" i="22"/>
  <c r="I59" i="22"/>
  <c r="H59" i="22"/>
  <c r="AE58" i="22"/>
  <c r="AD58" i="22"/>
  <c r="I58" i="22"/>
  <c r="H58" i="22"/>
  <c r="AE57" i="22"/>
  <c r="AD57" i="22"/>
  <c r="I57" i="22"/>
  <c r="H57" i="22"/>
  <c r="AE56" i="22"/>
  <c r="AD56" i="22"/>
  <c r="I56" i="22"/>
  <c r="H56" i="22"/>
  <c r="AE55" i="22"/>
  <c r="AD55" i="22"/>
  <c r="I55" i="22"/>
  <c r="H55" i="22"/>
  <c r="AE54" i="22"/>
  <c r="AD54" i="22"/>
  <c r="I54" i="22"/>
  <c r="H54" i="22"/>
  <c r="AE53" i="22"/>
  <c r="AD53" i="22"/>
  <c r="I53" i="22"/>
  <c r="H53" i="22"/>
  <c r="AE52" i="22"/>
  <c r="AD52" i="22"/>
  <c r="I52" i="22"/>
  <c r="H52" i="22"/>
  <c r="AE51" i="22"/>
  <c r="AD51" i="22"/>
  <c r="I51" i="22"/>
  <c r="H51" i="22"/>
  <c r="AE50" i="22"/>
  <c r="AD50" i="22"/>
  <c r="I50" i="22"/>
  <c r="H50" i="22"/>
  <c r="AE49" i="22"/>
  <c r="AD49" i="22"/>
  <c r="I49" i="22"/>
  <c r="H49" i="22"/>
  <c r="AE48" i="22"/>
  <c r="AD48" i="22"/>
  <c r="I48" i="22"/>
  <c r="H48" i="22"/>
  <c r="AE47" i="22"/>
  <c r="AD47" i="22"/>
  <c r="I47" i="22"/>
  <c r="H47" i="22"/>
  <c r="AE46" i="22"/>
  <c r="AD46" i="22"/>
  <c r="I46" i="22"/>
  <c r="H46" i="22"/>
  <c r="AE45" i="22"/>
  <c r="AD45" i="22"/>
  <c r="I45" i="22"/>
  <c r="H45" i="22"/>
  <c r="AE44" i="22"/>
  <c r="AD44" i="22"/>
  <c r="I44" i="22"/>
  <c r="H44" i="22"/>
  <c r="AE43" i="22"/>
  <c r="AD43" i="22"/>
  <c r="I43" i="22"/>
  <c r="H43" i="22"/>
  <c r="AE42" i="22"/>
  <c r="AD42" i="22"/>
  <c r="I42" i="22"/>
  <c r="H42" i="22"/>
  <c r="AE41" i="22"/>
  <c r="AD41" i="22"/>
  <c r="I41" i="22"/>
  <c r="H41" i="22"/>
  <c r="AE40" i="22"/>
  <c r="AD40" i="22"/>
  <c r="I40" i="22"/>
  <c r="H40" i="22"/>
  <c r="AE39" i="22"/>
  <c r="AD39" i="22"/>
  <c r="I39" i="22"/>
  <c r="H39" i="22"/>
  <c r="AE38" i="22"/>
  <c r="AD38" i="22"/>
  <c r="I38" i="22"/>
  <c r="H38" i="22"/>
  <c r="AE37" i="22"/>
  <c r="AD37" i="22"/>
  <c r="Z37" i="22"/>
  <c r="AA37" i="22" s="1"/>
  <c r="I37" i="22"/>
  <c r="H37" i="22"/>
  <c r="AE36" i="22"/>
  <c r="AD36" i="22"/>
  <c r="Z36" i="22"/>
  <c r="AA36" i="22" s="1"/>
  <c r="I36" i="22"/>
  <c r="H36" i="22"/>
  <c r="AE35" i="22"/>
  <c r="AD35" i="22"/>
  <c r="Z35" i="22"/>
  <c r="AA35" i="22" s="1"/>
  <c r="I35" i="22"/>
  <c r="H35" i="22"/>
  <c r="AE34" i="22"/>
  <c r="AD34" i="22"/>
  <c r="Z34" i="22"/>
  <c r="AA34" i="22" s="1"/>
  <c r="I34" i="22"/>
  <c r="H34" i="22"/>
  <c r="AE33" i="22"/>
  <c r="AD33" i="22"/>
  <c r="Z33" i="22"/>
  <c r="AA33" i="22" s="1"/>
  <c r="I33" i="22"/>
  <c r="H33" i="22"/>
  <c r="AE32" i="22"/>
  <c r="AD32" i="22"/>
  <c r="Z32" i="22"/>
  <c r="AA32" i="22" s="1"/>
  <c r="I32" i="22"/>
  <c r="H32" i="22"/>
  <c r="AE31" i="22"/>
  <c r="AD31" i="22"/>
  <c r="Z31" i="22"/>
  <c r="AA31" i="22" s="1"/>
  <c r="I31" i="22"/>
  <c r="H31" i="22"/>
  <c r="AE30" i="22"/>
  <c r="AD30" i="22"/>
  <c r="Z30" i="22"/>
  <c r="AA30" i="22" s="1"/>
  <c r="I30" i="22"/>
  <c r="H30" i="22"/>
  <c r="AE29" i="22"/>
  <c r="AD29" i="22"/>
  <c r="Z29" i="22"/>
  <c r="AA29" i="22" s="1"/>
  <c r="I29" i="22"/>
  <c r="H29" i="22"/>
  <c r="AE28" i="22"/>
  <c r="AD28" i="22"/>
  <c r="Z28" i="22"/>
  <c r="AA28" i="22" s="1"/>
  <c r="I28" i="22"/>
  <c r="H28" i="22"/>
  <c r="AE27" i="22"/>
  <c r="AD27" i="22"/>
  <c r="Z27" i="22"/>
  <c r="AA27" i="22" s="1"/>
  <c r="I27" i="22"/>
  <c r="H27" i="22"/>
  <c r="AE26" i="22"/>
  <c r="AD26" i="22"/>
  <c r="Z26" i="22"/>
  <c r="AA26" i="22" s="1"/>
  <c r="I26" i="22"/>
  <c r="H26" i="22"/>
  <c r="D26" i="22"/>
  <c r="E26" i="22" s="1"/>
  <c r="AE25" i="22"/>
  <c r="AD25" i="22"/>
  <c r="Z25" i="22"/>
  <c r="AA25" i="22" s="1"/>
  <c r="I25" i="22"/>
  <c r="H25" i="22"/>
  <c r="D25" i="22"/>
  <c r="E25" i="22" s="1"/>
  <c r="AE24" i="22"/>
  <c r="AD24" i="22"/>
  <c r="Z24" i="22"/>
  <c r="AA24" i="22" s="1"/>
  <c r="I24" i="22"/>
  <c r="H24" i="22"/>
  <c r="D24" i="22"/>
  <c r="E24" i="22" s="1"/>
  <c r="AE23" i="22"/>
  <c r="AD23" i="22"/>
  <c r="Z23" i="22"/>
  <c r="AA23" i="22" s="1"/>
  <c r="I23" i="22"/>
  <c r="H23" i="22"/>
  <c r="D23" i="22"/>
  <c r="E23" i="22" s="1"/>
  <c r="AE22" i="22"/>
  <c r="AD22" i="22"/>
  <c r="Z22" i="22"/>
  <c r="AA22" i="22" s="1"/>
  <c r="I22" i="22"/>
  <c r="H22" i="22"/>
  <c r="D22" i="22"/>
  <c r="E22" i="22" s="1"/>
  <c r="AE21" i="22"/>
  <c r="AD21" i="22"/>
  <c r="Z21" i="22"/>
  <c r="AA21" i="22" s="1"/>
  <c r="I21" i="22"/>
  <c r="H21" i="22"/>
  <c r="D21" i="22"/>
  <c r="E21" i="22" s="1"/>
  <c r="AE20" i="22"/>
  <c r="AD20" i="22"/>
  <c r="Z20" i="22"/>
  <c r="AA20" i="22" s="1"/>
  <c r="I20" i="22"/>
  <c r="H20" i="22"/>
  <c r="D20" i="22"/>
  <c r="E20" i="22" s="1"/>
  <c r="AE19" i="22"/>
  <c r="AD19" i="22"/>
  <c r="Z19" i="22"/>
  <c r="AA19" i="22" s="1"/>
  <c r="I19" i="22"/>
  <c r="H19" i="22"/>
  <c r="D19" i="22"/>
  <c r="E19" i="22" s="1"/>
  <c r="AE18" i="22"/>
  <c r="AD18" i="22"/>
  <c r="Z18" i="22"/>
  <c r="AA18" i="22" s="1"/>
  <c r="I18" i="22"/>
  <c r="H18" i="22"/>
  <c r="D18" i="22"/>
  <c r="E18" i="22" s="1"/>
  <c r="AE17" i="22"/>
  <c r="AD17" i="22"/>
  <c r="Z17" i="22"/>
  <c r="AA17" i="22" s="1"/>
  <c r="I17" i="22"/>
  <c r="H17" i="22"/>
  <c r="D17" i="22"/>
  <c r="E17" i="22" s="1"/>
  <c r="AE16" i="22"/>
  <c r="AD16" i="22"/>
  <c r="Z16" i="22"/>
  <c r="AA16" i="22" s="1"/>
  <c r="I16" i="22"/>
  <c r="H16" i="22"/>
  <c r="D16" i="22"/>
  <c r="E16" i="22" s="1"/>
  <c r="AA11" i="22"/>
  <c r="E11" i="22"/>
  <c r="E12" i="22" l="1"/>
  <c r="E13" i="22" s="1"/>
  <c r="E14" i="22" s="1"/>
  <c r="AA12" i="22"/>
  <c r="AA13" i="22" s="1"/>
  <c r="AA14" i="22" s="1"/>
  <c r="G11" i="19"/>
  <c r="K11" i="1" l="1"/>
  <c r="K13" i="1"/>
  <c r="K9" i="1"/>
  <c r="N7" i="20"/>
  <c r="N6" i="20"/>
  <c r="H10" i="1" l="1"/>
  <c r="H11" i="1"/>
  <c r="H12" i="1"/>
  <c r="H9" i="1"/>
  <c r="E17" i="1"/>
  <c r="D17" i="1" l="1"/>
  <c r="C17" i="1"/>
  <c r="R35" i="21"/>
  <c r="R36" i="21"/>
  <c r="U35" i="21"/>
  <c r="C4" i="21" s="1"/>
  <c r="U34" i="21"/>
  <c r="U32" i="21"/>
  <c r="U31" i="21"/>
  <c r="U29" i="21"/>
  <c r="U27" i="21"/>
  <c r="U25" i="21"/>
  <c r="U24" i="21"/>
  <c r="U20" i="21"/>
  <c r="U18" i="21"/>
  <c r="U16" i="21"/>
  <c r="J21" i="21"/>
  <c r="J20" i="21"/>
  <c r="H19" i="21"/>
  <c r="J19" i="21" s="1"/>
  <c r="H17" i="21"/>
  <c r="J17" i="21" s="1"/>
  <c r="J15" i="21"/>
  <c r="J14" i="21"/>
  <c r="H13" i="21"/>
  <c r="H23" i="21" s="1"/>
  <c r="U36" i="21" l="1"/>
  <c r="D4" i="21" s="1"/>
  <c r="J13" i="21"/>
  <c r="H22" i="21"/>
  <c r="J23" i="21" l="1"/>
  <c r="D3" i="21" s="1"/>
  <c r="J22" i="21"/>
  <c r="C3" i="21" s="1"/>
  <c r="H9" i="20" l="1"/>
  <c r="H10" i="20"/>
  <c r="H11" i="20"/>
  <c r="H12" i="20"/>
  <c r="H8" i="20"/>
  <c r="H4" i="20"/>
  <c r="H5" i="20"/>
  <c r="H6" i="20"/>
  <c r="H7" i="20"/>
  <c r="H3" i="20"/>
  <c r="D10" i="1" l="1"/>
  <c r="E10" i="1"/>
  <c r="D11" i="1"/>
  <c r="E11" i="1"/>
  <c r="D12" i="1"/>
  <c r="E12" i="1"/>
  <c r="D13" i="1"/>
  <c r="E13" i="1"/>
  <c r="E9" i="1"/>
  <c r="D9" i="1"/>
  <c r="A4" i="20"/>
  <c r="A5" i="20"/>
  <c r="A6" i="20"/>
  <c r="A7" i="20"/>
  <c r="A8" i="20"/>
  <c r="A9" i="20"/>
  <c r="A10" i="20"/>
  <c r="A11" i="20"/>
  <c r="A12" i="20"/>
  <c r="A3" i="20"/>
  <c r="D39" i="20" l="1"/>
  <c r="D38" i="20"/>
  <c r="D63" i="20"/>
  <c r="D64" i="20"/>
  <c r="S64" i="20"/>
  <c r="R64" i="20"/>
  <c r="Q64" i="20"/>
  <c r="P64" i="20"/>
  <c r="E12" i="20" s="1"/>
  <c r="O64" i="20"/>
  <c r="E10" i="20" s="1"/>
  <c r="E11" i="20" s="1"/>
  <c r="N64" i="20"/>
  <c r="E8" i="20" s="1"/>
  <c r="E9" i="20" s="1"/>
  <c r="J64" i="20"/>
  <c r="I64" i="20"/>
  <c r="H64" i="20"/>
  <c r="G64" i="20"/>
  <c r="F64" i="20"/>
  <c r="S63" i="20"/>
  <c r="R63" i="20"/>
  <c r="F10" i="20" s="1"/>
  <c r="F11" i="20" s="1"/>
  <c r="Q63" i="20"/>
  <c r="F8" i="20" s="1"/>
  <c r="F9" i="20" s="1"/>
  <c r="P63" i="20"/>
  <c r="D12" i="20" s="1"/>
  <c r="O63" i="20"/>
  <c r="D10" i="20" s="1"/>
  <c r="D11" i="20" s="1"/>
  <c r="N63" i="20"/>
  <c r="D8" i="20" s="1"/>
  <c r="D9" i="20" s="1"/>
  <c r="J63" i="20"/>
  <c r="I63" i="20"/>
  <c r="H63" i="20"/>
  <c r="G63" i="20"/>
  <c r="F63" i="20"/>
  <c r="V62" i="20"/>
  <c r="U62" i="20"/>
  <c r="T62" i="20"/>
  <c r="M62" i="20"/>
  <c r="L62" i="20"/>
  <c r="K62" i="20"/>
  <c r="V61" i="20"/>
  <c r="U61" i="20"/>
  <c r="T61" i="20"/>
  <c r="M61" i="20"/>
  <c r="L61" i="20"/>
  <c r="K61" i="20"/>
  <c r="V60" i="20"/>
  <c r="U60" i="20"/>
  <c r="T60" i="20"/>
  <c r="M60" i="20"/>
  <c r="L60" i="20"/>
  <c r="K60" i="20"/>
  <c r="V59" i="20"/>
  <c r="U59" i="20"/>
  <c r="T59" i="20"/>
  <c r="M59" i="20"/>
  <c r="L59" i="20"/>
  <c r="K59" i="20"/>
  <c r="V58" i="20"/>
  <c r="U58" i="20"/>
  <c r="T58" i="20"/>
  <c r="M58" i="20"/>
  <c r="L58" i="20"/>
  <c r="K58" i="20"/>
  <c r="V57" i="20"/>
  <c r="U57" i="20"/>
  <c r="T57" i="20"/>
  <c r="M57" i="20"/>
  <c r="L57" i="20"/>
  <c r="K57" i="20"/>
  <c r="V56" i="20"/>
  <c r="U56" i="20"/>
  <c r="T56" i="20"/>
  <c r="M56" i="20"/>
  <c r="L56" i="20"/>
  <c r="K56" i="20"/>
  <c r="V55" i="20"/>
  <c r="U55" i="20"/>
  <c r="T55" i="20"/>
  <c r="M55" i="20"/>
  <c r="L55" i="20"/>
  <c r="K55" i="20"/>
  <c r="V54" i="20"/>
  <c r="U54" i="20"/>
  <c r="T54" i="20"/>
  <c r="M54" i="20"/>
  <c r="L54" i="20"/>
  <c r="K54" i="20"/>
  <c r="V53" i="20"/>
  <c r="U53" i="20"/>
  <c r="T53" i="20"/>
  <c r="M53" i="20"/>
  <c r="L53" i="20"/>
  <c r="K53" i="20"/>
  <c r="V52" i="20"/>
  <c r="U52" i="20"/>
  <c r="T52" i="20"/>
  <c r="M52" i="20"/>
  <c r="L52" i="20"/>
  <c r="K52" i="20"/>
  <c r="V51" i="20"/>
  <c r="U51" i="20"/>
  <c r="T51" i="20"/>
  <c r="M51" i="20"/>
  <c r="L51" i="20"/>
  <c r="K51" i="20"/>
  <c r="V50" i="20"/>
  <c r="U50" i="20"/>
  <c r="T50" i="20"/>
  <c r="M50" i="20"/>
  <c r="L50" i="20"/>
  <c r="K50" i="20"/>
  <c r="V49" i="20"/>
  <c r="U49" i="20"/>
  <c r="T49" i="20"/>
  <c r="M49" i="20"/>
  <c r="L49" i="20"/>
  <c r="K49" i="20"/>
  <c r="V48" i="20"/>
  <c r="U48" i="20"/>
  <c r="T48" i="20"/>
  <c r="M48" i="20"/>
  <c r="L48" i="20"/>
  <c r="K48" i="20"/>
  <c r="V47" i="20"/>
  <c r="U47" i="20"/>
  <c r="T47" i="20"/>
  <c r="M47" i="20"/>
  <c r="L47" i="20"/>
  <c r="K47" i="20"/>
  <c r="D40" i="20" l="1"/>
  <c r="D65" i="20"/>
  <c r="X49" i="20"/>
  <c r="Y55" i="20"/>
  <c r="W50" i="20"/>
  <c r="N65" i="20"/>
  <c r="Y49" i="20"/>
  <c r="W56" i="20"/>
  <c r="Y57" i="20"/>
  <c r="X48" i="20"/>
  <c r="X56" i="20"/>
  <c r="X60" i="20"/>
  <c r="Y54" i="20"/>
  <c r="Y62" i="20"/>
  <c r="W49" i="20"/>
  <c r="X47" i="20"/>
  <c r="X53" i="20"/>
  <c r="W48" i="20"/>
  <c r="Y50" i="20"/>
  <c r="X51" i="20"/>
  <c r="W59" i="20"/>
  <c r="O65" i="20"/>
  <c r="Y51" i="20"/>
  <c r="X59" i="20"/>
  <c r="P65" i="20"/>
  <c r="X55" i="20"/>
  <c r="X50" i="20"/>
  <c r="Y53" i="20"/>
  <c r="X57" i="20"/>
  <c r="W58" i="20"/>
  <c r="Y59" i="20"/>
  <c r="X61" i="20"/>
  <c r="F65" i="20"/>
  <c r="Q65" i="20"/>
  <c r="W53" i="20"/>
  <c r="Y61" i="20"/>
  <c r="G65" i="20"/>
  <c r="R65" i="20"/>
  <c r="Y48" i="20"/>
  <c r="X58" i="20"/>
  <c r="V64" i="20"/>
  <c r="Y56" i="20"/>
  <c r="W57" i="20"/>
  <c r="Y58" i="20"/>
  <c r="H65" i="20"/>
  <c r="W47" i="20"/>
  <c r="Y52" i="20"/>
  <c r="W61" i="20"/>
  <c r="S65" i="20"/>
  <c r="Y47" i="20"/>
  <c r="W52" i="20"/>
  <c r="W55" i="20"/>
  <c r="Y60" i="20"/>
  <c r="I65" i="20"/>
  <c r="L63" i="20"/>
  <c r="M64" i="20"/>
  <c r="X52" i="20"/>
  <c r="W54" i="20"/>
  <c r="W60" i="20"/>
  <c r="J65" i="20"/>
  <c r="T64" i="20"/>
  <c r="T63" i="20"/>
  <c r="X54" i="20"/>
  <c r="W62" i="20"/>
  <c r="U64" i="20"/>
  <c r="X62" i="20"/>
  <c r="W51" i="20"/>
  <c r="M63" i="20"/>
  <c r="U63" i="20"/>
  <c r="L64" i="20"/>
  <c r="V63" i="20"/>
  <c r="K63" i="20"/>
  <c r="K64" i="20"/>
  <c r="N38" i="20"/>
  <c r="D3" i="20" s="1"/>
  <c r="D4" i="20" s="1"/>
  <c r="O38" i="20"/>
  <c r="D5" i="20" s="1"/>
  <c r="D6" i="20" s="1"/>
  <c r="P38" i="20"/>
  <c r="D7" i="20" s="1"/>
  <c r="Q38" i="20"/>
  <c r="F3" i="20" s="1"/>
  <c r="F4" i="20" s="1"/>
  <c r="R38" i="20"/>
  <c r="F5" i="20" s="1"/>
  <c r="F6" i="20" s="1"/>
  <c r="S38" i="20"/>
  <c r="N39" i="20"/>
  <c r="E3" i="20" s="1"/>
  <c r="E4" i="20" s="1"/>
  <c r="O39" i="20"/>
  <c r="E5" i="20" s="1"/>
  <c r="E6" i="20" s="1"/>
  <c r="P39" i="20"/>
  <c r="E7" i="20" s="1"/>
  <c r="Q39" i="20"/>
  <c r="R39" i="20"/>
  <c r="S39" i="20"/>
  <c r="K20" i="20"/>
  <c r="L20" i="20"/>
  <c r="M20" i="20"/>
  <c r="K21" i="20"/>
  <c r="L21" i="20"/>
  <c r="M21" i="20"/>
  <c r="K22" i="20"/>
  <c r="L22" i="20"/>
  <c r="M22" i="20"/>
  <c r="K23" i="20"/>
  <c r="L23" i="20"/>
  <c r="M23" i="20"/>
  <c r="K24" i="20"/>
  <c r="L24" i="20"/>
  <c r="M24" i="20"/>
  <c r="K25" i="20"/>
  <c r="L25" i="20"/>
  <c r="M25" i="20"/>
  <c r="K26" i="20"/>
  <c r="L26" i="20"/>
  <c r="M26" i="20"/>
  <c r="K27" i="20"/>
  <c r="L27" i="20"/>
  <c r="M27" i="20"/>
  <c r="K28" i="20"/>
  <c r="L28" i="20"/>
  <c r="M28" i="20"/>
  <c r="K29" i="20"/>
  <c r="L29" i="20"/>
  <c r="M29" i="20"/>
  <c r="K30" i="20"/>
  <c r="L30" i="20"/>
  <c r="M30" i="20"/>
  <c r="K31" i="20"/>
  <c r="L31" i="20"/>
  <c r="M31" i="20"/>
  <c r="K32" i="20"/>
  <c r="L32" i="20"/>
  <c r="M32" i="20"/>
  <c r="K33" i="20"/>
  <c r="L33" i="20"/>
  <c r="M33" i="20"/>
  <c r="K34" i="20"/>
  <c r="L34" i="20"/>
  <c r="M34" i="20"/>
  <c r="K35" i="20"/>
  <c r="L35" i="20"/>
  <c r="M35" i="20"/>
  <c r="K36" i="20"/>
  <c r="L36" i="20"/>
  <c r="M36" i="20"/>
  <c r="K37" i="20"/>
  <c r="L37" i="20"/>
  <c r="M37" i="20"/>
  <c r="L19" i="20"/>
  <c r="M19" i="20"/>
  <c r="K19" i="20"/>
  <c r="V17" i="5"/>
  <c r="T20" i="20"/>
  <c r="U20" i="20"/>
  <c r="V20" i="20"/>
  <c r="T21" i="20"/>
  <c r="U21" i="20"/>
  <c r="X21" i="20" s="1"/>
  <c r="V21" i="20"/>
  <c r="T22" i="20"/>
  <c r="U22" i="20"/>
  <c r="V22" i="20"/>
  <c r="T23" i="20"/>
  <c r="U23" i="20"/>
  <c r="V23" i="20"/>
  <c r="T24" i="20"/>
  <c r="W24" i="20" s="1"/>
  <c r="U24" i="20"/>
  <c r="V24" i="20"/>
  <c r="T25" i="20"/>
  <c r="U25" i="20"/>
  <c r="V25" i="20"/>
  <c r="T26" i="20"/>
  <c r="U26" i="20"/>
  <c r="V26" i="20"/>
  <c r="Y26" i="20" s="1"/>
  <c r="T27" i="20"/>
  <c r="U27" i="20"/>
  <c r="V27" i="20"/>
  <c r="T28" i="20"/>
  <c r="U28" i="20"/>
  <c r="V28" i="20"/>
  <c r="T29" i="20"/>
  <c r="U29" i="20"/>
  <c r="X29" i="20" s="1"/>
  <c r="V29" i="20"/>
  <c r="T30" i="20"/>
  <c r="U30" i="20"/>
  <c r="V30" i="20"/>
  <c r="T31" i="20"/>
  <c r="U31" i="20"/>
  <c r="V31" i="20"/>
  <c r="T32" i="20"/>
  <c r="W32" i="20" s="1"/>
  <c r="U32" i="20"/>
  <c r="V32" i="20"/>
  <c r="T34" i="20"/>
  <c r="U34" i="20"/>
  <c r="V34" i="20"/>
  <c r="T35" i="20"/>
  <c r="U35" i="20"/>
  <c r="V35" i="20"/>
  <c r="T36" i="20"/>
  <c r="U36" i="20"/>
  <c r="V36" i="20"/>
  <c r="T37" i="20"/>
  <c r="U37" i="20"/>
  <c r="V37" i="20"/>
  <c r="V19" i="20"/>
  <c r="T19" i="20"/>
  <c r="S17" i="5"/>
  <c r="U17" i="5"/>
  <c r="T17" i="5"/>
  <c r="G38" i="20"/>
  <c r="H38" i="20"/>
  <c r="I38" i="20"/>
  <c r="J38" i="20"/>
  <c r="G39" i="20"/>
  <c r="H39" i="20"/>
  <c r="I39" i="20"/>
  <c r="J39" i="20"/>
  <c r="F39" i="20"/>
  <c r="F38" i="20"/>
  <c r="F20" i="5"/>
  <c r="G40" i="20" l="1"/>
  <c r="Y31" i="20"/>
  <c r="W29" i="20"/>
  <c r="X26" i="20"/>
  <c r="Y23" i="20"/>
  <c r="X31" i="20"/>
  <c r="Y28" i="20"/>
  <c r="W26" i="20"/>
  <c r="X23" i="20"/>
  <c r="Y20" i="20"/>
  <c r="W25" i="20"/>
  <c r="V65" i="20"/>
  <c r="X37" i="20"/>
  <c r="Y34" i="20"/>
  <c r="K65" i="20"/>
  <c r="F40" i="20"/>
  <c r="J40" i="20"/>
  <c r="I40" i="20"/>
  <c r="W30" i="20"/>
  <c r="H40" i="20"/>
  <c r="T65" i="20"/>
  <c r="X36" i="20"/>
  <c r="W19" i="20"/>
  <c r="Y64" i="20"/>
  <c r="L65" i="20"/>
  <c r="Y19" i="20"/>
  <c r="W21" i="20"/>
  <c r="W36" i="20"/>
  <c r="W23" i="20"/>
  <c r="W31" i="20"/>
  <c r="X28" i="20"/>
  <c r="Y25" i="20"/>
  <c r="X20" i="20"/>
  <c r="Y30" i="20"/>
  <c r="W28" i="20"/>
  <c r="X25" i="20"/>
  <c r="Y22" i="20"/>
  <c r="W20" i="20"/>
  <c r="K38" i="20"/>
  <c r="M39" i="20"/>
  <c r="Y36" i="20"/>
  <c r="W34" i="20"/>
  <c r="X32" i="20"/>
  <c r="Y29" i="20"/>
  <c r="W27" i="20"/>
  <c r="X24" i="20"/>
  <c r="Y21" i="20"/>
  <c r="L39" i="20"/>
  <c r="U65" i="20"/>
  <c r="M65" i="20"/>
  <c r="O40" i="20"/>
  <c r="Q40" i="20"/>
  <c r="N40" i="20"/>
  <c r="P40" i="20"/>
  <c r="R40" i="20"/>
  <c r="S40" i="20"/>
  <c r="Y35" i="20"/>
  <c r="M38" i="20"/>
  <c r="Y37" i="20"/>
  <c r="W35" i="20"/>
  <c r="L38" i="20"/>
  <c r="W37" i="20"/>
  <c r="X34" i="20"/>
  <c r="X35" i="20"/>
  <c r="X30" i="20"/>
  <c r="Y27" i="20"/>
  <c r="X22" i="20"/>
  <c r="Y32" i="20"/>
  <c r="X27" i="20"/>
  <c r="Y24" i="20"/>
  <c r="W22" i="20"/>
  <c r="K39" i="20"/>
  <c r="K40" i="20" s="1"/>
  <c r="U19" i="20"/>
  <c r="U33" i="20"/>
  <c r="X33" i="20" s="1"/>
  <c r="T33" i="20"/>
  <c r="W33" i="20" s="1"/>
  <c r="V33" i="20"/>
  <c r="Y33" i="20" s="1"/>
  <c r="H30" i="13"/>
  <c r="H31" i="13"/>
  <c r="H32" i="13"/>
  <c r="H33" i="13"/>
  <c r="H34" i="13"/>
  <c r="H35" i="13"/>
  <c r="H29" i="13"/>
  <c r="G30" i="13"/>
  <c r="G31" i="13"/>
  <c r="G32" i="13"/>
  <c r="G33" i="13"/>
  <c r="G34" i="13"/>
  <c r="G35" i="13"/>
  <c r="G29" i="13"/>
  <c r="H23" i="13"/>
  <c r="H24" i="13"/>
  <c r="H25" i="13"/>
  <c r="H26" i="13"/>
  <c r="H27" i="13"/>
  <c r="H28" i="13"/>
  <c r="H22" i="13"/>
  <c r="G10" i="19"/>
  <c r="G9" i="19"/>
  <c r="M40" i="20" l="1"/>
  <c r="L40" i="20"/>
  <c r="T39" i="20"/>
  <c r="T38" i="20"/>
  <c r="V38" i="20"/>
  <c r="V39" i="20"/>
  <c r="X19" i="20"/>
  <c r="Y39" i="20" s="1"/>
  <c r="U38" i="20"/>
  <c r="U39" i="20"/>
  <c r="F30" i="13"/>
  <c r="F31" i="13"/>
  <c r="F32" i="13"/>
  <c r="F33" i="13"/>
  <c r="F34" i="13"/>
  <c r="F35" i="13"/>
  <c r="F29" i="13"/>
  <c r="G23" i="13"/>
  <c r="G24" i="13"/>
  <c r="G25" i="13"/>
  <c r="G26" i="13"/>
  <c r="G27" i="13"/>
  <c r="G28" i="13"/>
  <c r="F23" i="13"/>
  <c r="F24" i="13"/>
  <c r="F25" i="13"/>
  <c r="F26" i="13"/>
  <c r="F27" i="13"/>
  <c r="F28" i="13"/>
  <c r="G22" i="13"/>
  <c r="F22" i="13"/>
  <c r="D3" i="1"/>
  <c r="D4" i="19"/>
  <c r="C4" i="19"/>
  <c r="D3" i="19"/>
  <c r="C3" i="19"/>
  <c r="D6" i="15"/>
  <c r="C6" i="15"/>
  <c r="D5" i="15"/>
  <c r="C5" i="15"/>
  <c r="D4" i="15"/>
  <c r="C4" i="15"/>
  <c r="D3" i="15"/>
  <c r="C3" i="15"/>
  <c r="L36" i="15"/>
  <c r="K36" i="15"/>
  <c r="L35" i="15"/>
  <c r="K35" i="15"/>
  <c r="L14" i="15"/>
  <c r="L15" i="15"/>
  <c r="L16" i="15"/>
  <c r="L17" i="15"/>
  <c r="L18" i="15"/>
  <c r="L19" i="15"/>
  <c r="L20" i="15"/>
  <c r="L21" i="15"/>
  <c r="L22" i="15"/>
  <c r="L23" i="15"/>
  <c r="L24" i="15"/>
  <c r="L25" i="15"/>
  <c r="L26" i="15"/>
  <c r="L27" i="15"/>
  <c r="L28" i="15"/>
  <c r="L29" i="15"/>
  <c r="L30" i="15"/>
  <c r="L31" i="15"/>
  <c r="L32" i="15"/>
  <c r="L33" i="15"/>
  <c r="L34" i="15"/>
  <c r="L13" i="15"/>
  <c r="K14" i="15"/>
  <c r="K15" i="15"/>
  <c r="K16" i="15"/>
  <c r="K17" i="15"/>
  <c r="K18" i="15"/>
  <c r="K19" i="15"/>
  <c r="K20" i="15"/>
  <c r="K21" i="15"/>
  <c r="K22" i="15"/>
  <c r="K23" i="15"/>
  <c r="K24" i="15"/>
  <c r="K25" i="15"/>
  <c r="K26" i="15"/>
  <c r="K27" i="15"/>
  <c r="K28" i="15"/>
  <c r="K29" i="15"/>
  <c r="K30" i="15"/>
  <c r="K31" i="15"/>
  <c r="K32" i="15"/>
  <c r="K33" i="15"/>
  <c r="K34" i="15"/>
  <c r="K13" i="15"/>
  <c r="J14" i="15"/>
  <c r="J15" i="15"/>
  <c r="J16" i="15"/>
  <c r="J17" i="15"/>
  <c r="J18" i="15"/>
  <c r="J19" i="15"/>
  <c r="J20" i="15"/>
  <c r="J21" i="15"/>
  <c r="J22" i="15"/>
  <c r="J23" i="15"/>
  <c r="J24" i="15"/>
  <c r="J25" i="15"/>
  <c r="J26" i="15"/>
  <c r="J27" i="15"/>
  <c r="J28" i="15"/>
  <c r="J29" i="15"/>
  <c r="J30" i="15"/>
  <c r="J31" i="15"/>
  <c r="J32" i="15"/>
  <c r="J33" i="15"/>
  <c r="J34" i="15"/>
  <c r="J13" i="15"/>
  <c r="F36" i="15"/>
  <c r="F35" i="15"/>
  <c r="G15" i="15"/>
  <c r="G16" i="15"/>
  <c r="G17" i="15"/>
  <c r="G18" i="15"/>
  <c r="G19" i="15"/>
  <c r="G20" i="15"/>
  <c r="G21" i="15"/>
  <c r="G22" i="15"/>
  <c r="G23" i="15"/>
  <c r="G24" i="15"/>
  <c r="G25" i="15"/>
  <c r="G26" i="15"/>
  <c r="G27" i="15"/>
  <c r="G28" i="15"/>
  <c r="G29" i="15"/>
  <c r="G30" i="15"/>
  <c r="G31" i="15"/>
  <c r="G32" i="15"/>
  <c r="G33" i="15"/>
  <c r="G34" i="15"/>
  <c r="G14" i="15"/>
  <c r="F15" i="15"/>
  <c r="F16" i="15"/>
  <c r="F17" i="15"/>
  <c r="F18" i="15"/>
  <c r="F19" i="15"/>
  <c r="F20" i="15"/>
  <c r="F21" i="15"/>
  <c r="F22" i="15"/>
  <c r="F23" i="15"/>
  <c r="F24" i="15"/>
  <c r="F25" i="15"/>
  <c r="F26" i="15"/>
  <c r="F27" i="15"/>
  <c r="F28" i="15"/>
  <c r="F29" i="15"/>
  <c r="F30" i="15"/>
  <c r="F31" i="15"/>
  <c r="F32" i="15"/>
  <c r="F33" i="15"/>
  <c r="F34" i="15"/>
  <c r="F14" i="15"/>
  <c r="E15" i="15"/>
  <c r="E16" i="15"/>
  <c r="E17" i="15"/>
  <c r="E18" i="15"/>
  <c r="E19" i="15"/>
  <c r="E20" i="15"/>
  <c r="E21" i="15"/>
  <c r="E22" i="15"/>
  <c r="E23" i="15"/>
  <c r="E24" i="15"/>
  <c r="E25" i="15"/>
  <c r="E26" i="15"/>
  <c r="E27" i="15"/>
  <c r="E28" i="15"/>
  <c r="E29" i="15"/>
  <c r="E30" i="15"/>
  <c r="E31" i="15"/>
  <c r="E32" i="15"/>
  <c r="E33" i="15"/>
  <c r="E34" i="15"/>
  <c r="E14" i="15"/>
  <c r="E7" i="1"/>
  <c r="D7" i="1"/>
  <c r="E6" i="1"/>
  <c r="D6" i="1"/>
  <c r="D6" i="17"/>
  <c r="D4" i="17"/>
  <c r="D5" i="17"/>
  <c r="D3" i="17"/>
  <c r="C6" i="17"/>
  <c r="C5" i="17"/>
  <c r="C4" i="17"/>
  <c r="C3" i="17"/>
  <c r="K12" i="17"/>
  <c r="J12" i="17"/>
  <c r="I12" i="17"/>
  <c r="H12" i="17"/>
  <c r="G12" i="17"/>
  <c r="F12" i="17"/>
  <c r="E12" i="17"/>
  <c r="D12" i="17"/>
  <c r="L24" i="17"/>
  <c r="L42" i="17"/>
  <c r="L25" i="17"/>
  <c r="L26" i="17"/>
  <c r="L30" i="17"/>
  <c r="L31" i="17"/>
  <c r="L32" i="17"/>
  <c r="L33" i="17"/>
  <c r="L34" i="17"/>
  <c r="L36" i="17"/>
  <c r="L37" i="17"/>
  <c r="L38" i="17"/>
  <c r="L39" i="17"/>
  <c r="L40" i="17"/>
  <c r="L41" i="17"/>
  <c r="L21" i="17"/>
  <c r="G22" i="17"/>
  <c r="G23" i="17"/>
  <c r="G24" i="17"/>
  <c r="G25" i="17"/>
  <c r="G26" i="17"/>
  <c r="G27" i="17"/>
  <c r="G28" i="17"/>
  <c r="G29" i="17"/>
  <c r="G30" i="17"/>
  <c r="G31" i="17"/>
  <c r="G32" i="17"/>
  <c r="G33" i="17"/>
  <c r="G34" i="17"/>
  <c r="G35" i="17"/>
  <c r="G36" i="17"/>
  <c r="G37" i="17"/>
  <c r="G38" i="17"/>
  <c r="G39" i="17"/>
  <c r="G40" i="17"/>
  <c r="G41" i="17"/>
  <c r="G21" i="17"/>
  <c r="G42" i="17" s="1"/>
  <c r="G11" i="17" s="1"/>
  <c r="I42" i="17"/>
  <c r="J42" i="17"/>
  <c r="K42" i="17"/>
  <c r="M42" i="17"/>
  <c r="I43" i="17"/>
  <c r="J43" i="17"/>
  <c r="K43" i="17"/>
  <c r="M43" i="17"/>
  <c r="E42" i="17"/>
  <c r="E11" i="17" s="1"/>
  <c r="F42" i="17"/>
  <c r="F11" i="17" s="1"/>
  <c r="I11" i="17" s="1"/>
  <c r="H42" i="17"/>
  <c r="E43" i="17"/>
  <c r="F43" i="17"/>
  <c r="H43" i="17"/>
  <c r="D43" i="17"/>
  <c r="D42" i="17"/>
  <c r="D11" i="17" s="1"/>
  <c r="T40" i="20" l="1"/>
  <c r="U40" i="20"/>
  <c r="V40" i="20"/>
  <c r="G35" i="15"/>
  <c r="G36" i="15" s="1"/>
  <c r="H11" i="17"/>
  <c r="J11" i="17"/>
  <c r="K11" i="17"/>
  <c r="K17" i="5" l="1"/>
  <c r="B5" i="8" l="1"/>
  <c r="B2" i="8" l="1"/>
  <c r="B10" i="8"/>
  <c r="O48" i="10" l="1"/>
  <c r="C4" i="10" s="1"/>
  <c r="N48" i="10"/>
  <c r="C3" i="10" s="1"/>
  <c r="D15" i="1" s="1"/>
  <c r="D55" i="10"/>
  <c r="O47" i="10"/>
  <c r="E55" i="10" l="1"/>
  <c r="N49" i="10"/>
  <c r="D3" i="10" s="1"/>
  <c r="E15" i="1" s="1"/>
  <c r="N47" i="10"/>
  <c r="D32" i="10"/>
  <c r="H32" i="10"/>
  <c r="I32" i="10"/>
  <c r="J32" i="10"/>
  <c r="D33" i="10"/>
  <c r="H33" i="10"/>
  <c r="I33" i="10"/>
  <c r="J33" i="10"/>
  <c r="D34" i="10"/>
  <c r="H34" i="10"/>
  <c r="I34" i="10"/>
  <c r="J34" i="10"/>
  <c r="D35" i="10"/>
  <c r="H35" i="10"/>
  <c r="I35" i="10"/>
  <c r="J35" i="10"/>
  <c r="D36" i="10"/>
  <c r="H36" i="10"/>
  <c r="I36" i="10"/>
  <c r="J36" i="10"/>
  <c r="D37" i="10"/>
  <c r="H37" i="10"/>
  <c r="I37" i="10"/>
  <c r="J37" i="10"/>
  <c r="D38" i="10"/>
  <c r="H38" i="10"/>
  <c r="I38" i="10"/>
  <c r="J38" i="10"/>
  <c r="D39" i="10"/>
  <c r="H39" i="10"/>
  <c r="I39" i="10"/>
  <c r="J39" i="10"/>
  <c r="D40" i="10"/>
  <c r="H40" i="10"/>
  <c r="I40" i="10"/>
  <c r="J40" i="10"/>
  <c r="D41" i="10"/>
  <c r="H41" i="10"/>
  <c r="I41" i="10"/>
  <c r="J41" i="10"/>
  <c r="D42" i="10"/>
  <c r="H42" i="10"/>
  <c r="I42" i="10"/>
  <c r="J42" i="10"/>
  <c r="D43" i="10"/>
  <c r="H43" i="10"/>
  <c r="I43" i="10"/>
  <c r="J43" i="10"/>
  <c r="D44" i="10"/>
  <c r="H44" i="10"/>
  <c r="I44" i="10"/>
  <c r="J44" i="10"/>
  <c r="D45" i="10"/>
  <c r="H45" i="10"/>
  <c r="I45" i="10"/>
  <c r="J45" i="10"/>
  <c r="I5" i="1" l="1"/>
  <c r="I4" i="1"/>
  <c r="H4" i="1"/>
  <c r="H5" i="1"/>
  <c r="D4" i="13" l="1"/>
  <c r="D5" i="13"/>
  <c r="D6" i="13"/>
  <c r="D7" i="13"/>
  <c r="D8" i="13"/>
  <c r="D9" i="13"/>
  <c r="D10" i="13"/>
  <c r="D11" i="13"/>
  <c r="D12" i="13"/>
  <c r="D13" i="13"/>
  <c r="D14" i="13"/>
  <c r="D15" i="13"/>
  <c r="D16" i="13"/>
  <c r="D3" i="13"/>
  <c r="C3" i="13"/>
  <c r="C11" i="13"/>
  <c r="C12" i="13"/>
  <c r="C13" i="13"/>
  <c r="C14" i="13"/>
  <c r="C15" i="13"/>
  <c r="C16" i="13"/>
  <c r="C10" i="13"/>
  <c r="C4" i="13"/>
  <c r="C5" i="13"/>
  <c r="C6" i="13"/>
  <c r="C7" i="13"/>
  <c r="C8" i="13"/>
  <c r="C9" i="13"/>
  <c r="D23" i="13"/>
  <c r="A4" i="13" s="1"/>
  <c r="D24" i="13"/>
  <c r="A5" i="13" s="1"/>
  <c r="D25" i="13"/>
  <c r="A6" i="13" s="1"/>
  <c r="D26" i="13"/>
  <c r="A7" i="13" s="1"/>
  <c r="D27" i="13"/>
  <c r="A8" i="13" s="1"/>
  <c r="D28" i="13"/>
  <c r="A9" i="13" s="1"/>
  <c r="D29" i="13"/>
  <c r="A10" i="13" s="1"/>
  <c r="D30" i="13"/>
  <c r="A11" i="13" s="1"/>
  <c r="D31" i="13"/>
  <c r="A12" i="13" s="1"/>
  <c r="D32" i="13"/>
  <c r="A13" i="13" s="1"/>
  <c r="D33" i="13"/>
  <c r="A14" i="13" s="1"/>
  <c r="D34" i="13"/>
  <c r="A15" i="13" s="1"/>
  <c r="D35" i="13"/>
  <c r="A16" i="13" s="1"/>
  <c r="D22" i="13"/>
  <c r="A3" i="13" s="1"/>
  <c r="J28" i="12"/>
  <c r="D6" i="12" s="1"/>
  <c r="J38" i="12"/>
  <c r="D16" i="12" s="1"/>
  <c r="I38" i="12"/>
  <c r="C16" i="12" s="1"/>
  <c r="H38" i="12"/>
  <c r="D38" i="12"/>
  <c r="A16" i="12" s="1"/>
  <c r="J37" i="12"/>
  <c r="D15" i="12" s="1"/>
  <c r="I37" i="12"/>
  <c r="C15" i="12" s="1"/>
  <c r="H37" i="12"/>
  <c r="D37" i="12"/>
  <c r="A15" i="12" s="1"/>
  <c r="J36" i="12"/>
  <c r="D14" i="12" s="1"/>
  <c r="I36" i="12"/>
  <c r="C14" i="12" s="1"/>
  <c r="H36" i="12"/>
  <c r="D36" i="12"/>
  <c r="A14" i="12" s="1"/>
  <c r="J35" i="12"/>
  <c r="D13" i="12" s="1"/>
  <c r="I35" i="12"/>
  <c r="C13" i="12" s="1"/>
  <c r="H35" i="12"/>
  <c r="D35" i="12"/>
  <c r="A13" i="12" s="1"/>
  <c r="J34" i="12"/>
  <c r="D12" i="12" s="1"/>
  <c r="I34" i="12"/>
  <c r="C12" i="12" s="1"/>
  <c r="H34" i="12"/>
  <c r="D34" i="12"/>
  <c r="A12" i="12" s="1"/>
  <c r="J33" i="12"/>
  <c r="D11" i="12" s="1"/>
  <c r="I33" i="12"/>
  <c r="C11" i="12" s="1"/>
  <c r="H33" i="12"/>
  <c r="D33" i="12"/>
  <c r="A11" i="12" s="1"/>
  <c r="J32" i="12"/>
  <c r="D10" i="12" s="1"/>
  <c r="I32" i="12"/>
  <c r="C10" i="12" s="1"/>
  <c r="H32" i="12"/>
  <c r="D32" i="12"/>
  <c r="A10" i="12" s="1"/>
  <c r="J31" i="12"/>
  <c r="D9" i="12" s="1"/>
  <c r="I31" i="12"/>
  <c r="C9" i="12" s="1"/>
  <c r="H31" i="12"/>
  <c r="D31" i="12"/>
  <c r="A9" i="12" s="1"/>
  <c r="J30" i="12"/>
  <c r="D8" i="12" s="1"/>
  <c r="I30" i="12"/>
  <c r="C8" i="12" s="1"/>
  <c r="H30" i="12"/>
  <c r="D30" i="12"/>
  <c r="A8" i="12" s="1"/>
  <c r="J29" i="12"/>
  <c r="D7" i="12" s="1"/>
  <c r="I29" i="12"/>
  <c r="C7" i="12" s="1"/>
  <c r="H29" i="12"/>
  <c r="D29" i="12"/>
  <c r="A7" i="12" s="1"/>
  <c r="I28" i="12"/>
  <c r="C6" i="12" s="1"/>
  <c r="H28" i="12"/>
  <c r="D28" i="12"/>
  <c r="A6" i="12" s="1"/>
  <c r="J27" i="12"/>
  <c r="D5" i="12" s="1"/>
  <c r="I27" i="12"/>
  <c r="C5" i="12" s="1"/>
  <c r="H27" i="12"/>
  <c r="D27" i="12"/>
  <c r="A5" i="12" s="1"/>
  <c r="J26" i="12"/>
  <c r="D4" i="12" s="1"/>
  <c r="I26" i="12"/>
  <c r="C4" i="12" s="1"/>
  <c r="H26" i="12"/>
  <c r="D26" i="12"/>
  <c r="A4" i="12" s="1"/>
  <c r="J25" i="12"/>
  <c r="D3" i="12" s="1"/>
  <c r="I25" i="12"/>
  <c r="C3" i="12" s="1"/>
  <c r="H25" i="12"/>
  <c r="D25" i="12"/>
  <c r="A3" i="12" s="1"/>
  <c r="G3" i="1" l="1"/>
  <c r="F3" i="1"/>
  <c r="F16" i="1"/>
  <c r="G16" i="1"/>
  <c r="Q11" i="7" l="1"/>
  <c r="P11" i="7"/>
  <c r="O11" i="7"/>
  <c r="Q68" i="10" l="1"/>
  <c r="O69" i="10"/>
  <c r="Q67" i="10"/>
  <c r="O68" i="10"/>
  <c r="Q66" i="10"/>
  <c r="O67" i="10"/>
  <c r="Q65" i="10"/>
  <c r="O66" i="10"/>
  <c r="Q64" i="10"/>
  <c r="O65" i="10"/>
  <c r="Q63" i="10"/>
  <c r="O64" i="10"/>
  <c r="Q62" i="10"/>
  <c r="O63" i="10"/>
  <c r="Q61" i="10"/>
  <c r="O62" i="10"/>
  <c r="Q60" i="10"/>
  <c r="O61" i="10"/>
  <c r="F60" i="10"/>
  <c r="G60" i="10" s="1"/>
  <c r="D60" i="10"/>
  <c r="E60" i="10" s="1"/>
  <c r="Q59" i="10"/>
  <c r="O60" i="10"/>
  <c r="F59" i="10"/>
  <c r="G59" i="10" s="1"/>
  <c r="D59" i="10"/>
  <c r="E59" i="10" s="1"/>
  <c r="Q58" i="10"/>
  <c r="O59" i="10"/>
  <c r="F58" i="10"/>
  <c r="G58" i="10" s="1"/>
  <c r="D58" i="10"/>
  <c r="E58" i="10" s="1"/>
  <c r="Q57" i="10"/>
  <c r="O58" i="10"/>
  <c r="F57" i="10"/>
  <c r="G57" i="10" s="1"/>
  <c r="D57" i="10"/>
  <c r="E57" i="10" s="1"/>
  <c r="Q56" i="10"/>
  <c r="O57" i="10"/>
  <c r="F56" i="10"/>
  <c r="G56" i="10" s="1"/>
  <c r="D56" i="10"/>
  <c r="E56" i="10" s="1"/>
  <c r="F55" i="10"/>
  <c r="G55" i="10" s="1"/>
  <c r="F54" i="10"/>
  <c r="G54" i="10" s="1"/>
  <c r="D54" i="10"/>
  <c r="E54" i="10" s="1"/>
  <c r="O49" i="10"/>
  <c r="O13" i="9"/>
  <c r="D4" i="9" s="1"/>
  <c r="O12" i="9"/>
  <c r="D3" i="9" s="1"/>
  <c r="N12" i="9"/>
  <c r="N13" i="9"/>
  <c r="M13" i="9"/>
  <c r="L13" i="9"/>
  <c r="C4" i="9" s="1"/>
  <c r="D8" i="1" s="1"/>
  <c r="K13" i="9"/>
  <c r="J13" i="9"/>
  <c r="M12" i="9"/>
  <c r="L12" i="9"/>
  <c r="C3" i="9" s="1"/>
  <c r="K12" i="9"/>
  <c r="J12" i="9"/>
  <c r="B7" i="8"/>
  <c r="B8" i="8"/>
  <c r="B9" i="8"/>
  <c r="B11" i="8"/>
  <c r="B6" i="8"/>
  <c r="B4" i="8"/>
  <c r="B3" i="8"/>
  <c r="E8" i="1" l="1"/>
  <c r="O50" i="10"/>
  <c r="D4" i="10"/>
  <c r="O70" i="10"/>
  <c r="O71" i="10" s="1"/>
  <c r="Q69" i="10"/>
  <c r="Q70" i="10" s="1"/>
  <c r="N50" i="10"/>
  <c r="C34" i="6" l="1"/>
  <c r="C33" i="6"/>
  <c r="D23" i="6"/>
  <c r="C3" i="6" s="1"/>
  <c r="E16" i="1" s="1"/>
  <c r="D22" i="6"/>
  <c r="B3" i="6" s="1"/>
  <c r="D16" i="1" s="1"/>
  <c r="N33" i="5"/>
  <c r="C6" i="5" s="1"/>
  <c r="O33" i="5"/>
  <c r="C7" i="5" s="1"/>
  <c r="P33" i="5"/>
  <c r="Q33" i="5"/>
  <c r="R33" i="5"/>
  <c r="M33" i="5"/>
  <c r="C4" i="5" s="1"/>
  <c r="G17" i="5"/>
  <c r="H17" i="5"/>
  <c r="L17" i="5" s="1"/>
  <c r="F17" i="5"/>
  <c r="J17" i="5" s="1"/>
  <c r="R32" i="5"/>
  <c r="Q32" i="5"/>
  <c r="P32" i="5"/>
  <c r="O32" i="5"/>
  <c r="N32" i="5"/>
  <c r="M32" i="5"/>
  <c r="R31" i="5"/>
  <c r="Q31" i="5"/>
  <c r="D5" i="5" s="1"/>
  <c r="P31" i="5"/>
  <c r="D3" i="5" s="1"/>
  <c r="O31" i="5"/>
  <c r="B7" i="5" s="1"/>
  <c r="N31" i="5"/>
  <c r="B6" i="5" s="1"/>
  <c r="M31" i="5"/>
  <c r="B3" i="5" s="1"/>
  <c r="U30" i="5"/>
  <c r="T30" i="5"/>
  <c r="S30" i="5"/>
  <c r="E30" i="5"/>
  <c r="H30" i="5" s="1"/>
  <c r="U29" i="5"/>
  <c r="T29" i="5"/>
  <c r="S29" i="5"/>
  <c r="H29" i="5"/>
  <c r="L29" i="5" s="1"/>
  <c r="G29" i="5"/>
  <c r="K29" i="5" s="1"/>
  <c r="F29" i="5"/>
  <c r="J29" i="5" s="1"/>
  <c r="U28" i="5"/>
  <c r="T28" i="5"/>
  <c r="S28" i="5"/>
  <c r="H28" i="5"/>
  <c r="L28" i="5" s="1"/>
  <c r="G28" i="5"/>
  <c r="K28" i="5" s="1"/>
  <c r="F28" i="5"/>
  <c r="J28" i="5" s="1"/>
  <c r="U27" i="5"/>
  <c r="T27" i="5"/>
  <c r="S27" i="5"/>
  <c r="H27" i="5"/>
  <c r="L27" i="5" s="1"/>
  <c r="X27" i="5" s="1"/>
  <c r="G27" i="5"/>
  <c r="K27" i="5" s="1"/>
  <c r="F27" i="5"/>
  <c r="J27" i="5" s="1"/>
  <c r="U26" i="5"/>
  <c r="T26" i="5"/>
  <c r="S26" i="5"/>
  <c r="H26" i="5"/>
  <c r="L26" i="5" s="1"/>
  <c r="G26" i="5"/>
  <c r="K26" i="5" s="1"/>
  <c r="F26" i="5"/>
  <c r="J26" i="5" s="1"/>
  <c r="U25" i="5"/>
  <c r="T25" i="5"/>
  <c r="S25" i="5"/>
  <c r="L25" i="5"/>
  <c r="H25" i="5"/>
  <c r="G25" i="5"/>
  <c r="K25" i="5" s="1"/>
  <c r="F25" i="5"/>
  <c r="J25" i="5" s="1"/>
  <c r="U24" i="5"/>
  <c r="T24" i="5"/>
  <c r="S24" i="5"/>
  <c r="H24" i="5"/>
  <c r="L24" i="5" s="1"/>
  <c r="G24" i="5"/>
  <c r="K24" i="5" s="1"/>
  <c r="F24" i="5"/>
  <c r="J24" i="5" s="1"/>
  <c r="U23" i="5"/>
  <c r="T23" i="5"/>
  <c r="S23" i="5"/>
  <c r="H23" i="5"/>
  <c r="L23" i="5" s="1"/>
  <c r="G23" i="5"/>
  <c r="K23" i="5" s="1"/>
  <c r="F23" i="5"/>
  <c r="J23" i="5" s="1"/>
  <c r="U22" i="5"/>
  <c r="T22" i="5"/>
  <c r="S22" i="5"/>
  <c r="H22" i="5"/>
  <c r="L22" i="5" s="1"/>
  <c r="G22" i="5"/>
  <c r="K22" i="5" s="1"/>
  <c r="W22" i="5" s="1"/>
  <c r="F22" i="5"/>
  <c r="J22" i="5" s="1"/>
  <c r="U21" i="5"/>
  <c r="T21" i="5"/>
  <c r="S21" i="5"/>
  <c r="H21" i="5"/>
  <c r="L21" i="5" s="1"/>
  <c r="G21" i="5"/>
  <c r="K21" i="5" s="1"/>
  <c r="F21" i="5"/>
  <c r="J21" i="5" s="1"/>
  <c r="U20" i="5"/>
  <c r="T20" i="5"/>
  <c r="S20" i="5"/>
  <c r="H20" i="5"/>
  <c r="L20" i="5" s="1"/>
  <c r="G20" i="5"/>
  <c r="K20" i="5" s="1"/>
  <c r="J20" i="5"/>
  <c r="U19" i="5"/>
  <c r="T19" i="5"/>
  <c r="S19" i="5"/>
  <c r="H19" i="5"/>
  <c r="L19" i="5" s="1"/>
  <c r="G19" i="5"/>
  <c r="K19" i="5" s="1"/>
  <c r="F19" i="5"/>
  <c r="J19" i="5" s="1"/>
  <c r="U18" i="5"/>
  <c r="T18" i="5"/>
  <c r="S18" i="5"/>
  <c r="H18" i="5"/>
  <c r="L18" i="5" s="1"/>
  <c r="G18" i="5"/>
  <c r="K18" i="5" s="1"/>
  <c r="F18" i="5"/>
  <c r="J18" i="5" s="1"/>
  <c r="C5" i="5" l="1"/>
  <c r="W28" i="5"/>
  <c r="W19" i="5"/>
  <c r="W23" i="5"/>
  <c r="X19" i="5"/>
  <c r="V22" i="5"/>
  <c r="X23" i="5"/>
  <c r="W27" i="5"/>
  <c r="B4" i="5"/>
  <c r="X22" i="5"/>
  <c r="V21" i="5"/>
  <c r="W21" i="5"/>
  <c r="W25" i="5"/>
  <c r="C3" i="5"/>
  <c r="D4" i="5"/>
  <c r="D6" i="5"/>
  <c r="H31" i="5"/>
  <c r="Q15" i="7" s="1"/>
  <c r="F21" i="7" s="1"/>
  <c r="I21" i="7" s="1"/>
  <c r="B5" i="5"/>
  <c r="V20" i="5"/>
  <c r="X21" i="5"/>
  <c r="V29" i="5"/>
  <c r="X17" i="5"/>
  <c r="W20" i="5"/>
  <c r="W24" i="5"/>
  <c r="W29" i="5"/>
  <c r="X24" i="5"/>
  <c r="X25" i="5"/>
  <c r="V28" i="5"/>
  <c r="X29" i="5"/>
  <c r="F36" i="7"/>
  <c r="I36" i="7" s="1"/>
  <c r="F20" i="7"/>
  <c r="I20" i="7" s="1"/>
  <c r="F37" i="7"/>
  <c r="I37" i="7" s="1"/>
  <c r="F40" i="7"/>
  <c r="I40" i="7" s="1"/>
  <c r="F13" i="7"/>
  <c r="I13" i="7" s="1"/>
  <c r="F35" i="7"/>
  <c r="I35" i="7" s="1"/>
  <c r="F25" i="7"/>
  <c r="I25" i="7" s="1"/>
  <c r="F30" i="5"/>
  <c r="F31" i="5" s="1"/>
  <c r="O15" i="7" s="1"/>
  <c r="V27" i="5"/>
  <c r="G30" i="5"/>
  <c r="G31" i="5" s="1"/>
  <c r="P15" i="7" s="1"/>
  <c r="I30" i="5"/>
  <c r="J30" i="5" s="1"/>
  <c r="V30" i="5" s="1"/>
  <c r="V19" i="5"/>
  <c r="V18" i="5"/>
  <c r="X20" i="5"/>
  <c r="V25" i="5"/>
  <c r="V26" i="5"/>
  <c r="X28" i="5"/>
  <c r="W18" i="5"/>
  <c r="W26" i="5"/>
  <c r="X18" i="5"/>
  <c r="V23" i="5"/>
  <c r="V24" i="5"/>
  <c r="X26" i="5"/>
  <c r="W17" i="5"/>
  <c r="F17" i="7" l="1"/>
  <c r="I17" i="7" s="1"/>
  <c r="F38" i="7"/>
  <c r="I38" i="7" s="1"/>
  <c r="F39" i="7"/>
  <c r="I39" i="7" s="1"/>
  <c r="F22" i="7"/>
  <c r="I22" i="7" s="1"/>
  <c r="F31" i="7"/>
  <c r="I31" i="7" s="1"/>
  <c r="D24" i="7"/>
  <c r="G24" i="7" s="1"/>
  <c r="D31" i="7"/>
  <c r="G31" i="7" s="1"/>
  <c r="D18" i="7"/>
  <c r="G18" i="7" s="1"/>
  <c r="J18" i="7" s="1"/>
  <c r="M18" i="7" s="1"/>
  <c r="D19" i="7"/>
  <c r="G19" i="7" s="1"/>
  <c r="D33" i="7"/>
  <c r="G33" i="7" s="1"/>
  <c r="D34" i="7"/>
  <c r="G34" i="7" s="1"/>
  <c r="D37" i="7"/>
  <c r="G37" i="7" s="1"/>
  <c r="D15" i="7"/>
  <c r="G15" i="7" s="1"/>
  <c r="D11" i="7"/>
  <c r="G11" i="7" s="1"/>
  <c r="L30" i="5"/>
  <c r="X30" i="5" s="1"/>
  <c r="X32" i="5" s="1"/>
  <c r="F26" i="7"/>
  <c r="I26" i="7" s="1"/>
  <c r="F28" i="7"/>
  <c r="I28" i="7" s="1"/>
  <c r="F27" i="7"/>
  <c r="I27" i="7" s="1"/>
  <c r="E21" i="7"/>
  <c r="H21" i="7" s="1"/>
  <c r="E35" i="7"/>
  <c r="H35" i="7" s="1"/>
  <c r="E23" i="7"/>
  <c r="H23" i="7" s="1"/>
  <c r="E34" i="7"/>
  <c r="H34" i="7" s="1"/>
  <c r="E14" i="7"/>
  <c r="H14" i="7" s="1"/>
  <c r="E31" i="7"/>
  <c r="H31" i="7" s="1"/>
  <c r="E18" i="7"/>
  <c r="H18" i="7" s="1"/>
  <c r="E13" i="7"/>
  <c r="H13" i="7" s="1"/>
  <c r="E17" i="7"/>
  <c r="H17" i="7" s="1"/>
  <c r="E27" i="7"/>
  <c r="H27" i="7" s="1"/>
  <c r="E11" i="7"/>
  <c r="H11" i="7" s="1"/>
  <c r="E26" i="7"/>
  <c r="H26" i="7" s="1"/>
  <c r="E39" i="7"/>
  <c r="H39" i="7" s="1"/>
  <c r="E29" i="7"/>
  <c r="H29" i="7" s="1"/>
  <c r="E24" i="7"/>
  <c r="H24" i="7" s="1"/>
  <c r="E38" i="7"/>
  <c r="H38" i="7" s="1"/>
  <c r="E25" i="7"/>
  <c r="H25" i="7" s="1"/>
  <c r="E12" i="7"/>
  <c r="H12" i="7" s="1"/>
  <c r="E41" i="7"/>
  <c r="H41" i="7" s="1"/>
  <c r="E36" i="7"/>
  <c r="H36" i="7" s="1"/>
  <c r="E22" i="7"/>
  <c r="H22" i="7" s="1"/>
  <c r="E32" i="7"/>
  <c r="H32" i="7" s="1"/>
  <c r="E19" i="7"/>
  <c r="H19" i="7" s="1"/>
  <c r="E15" i="7"/>
  <c r="H15" i="7" s="1"/>
  <c r="E16" i="7"/>
  <c r="H16" i="7" s="1"/>
  <c r="E37" i="7"/>
  <c r="H37" i="7" s="1"/>
  <c r="E33" i="7"/>
  <c r="H33" i="7" s="1"/>
  <c r="E28" i="7"/>
  <c r="H28" i="7" s="1"/>
  <c r="E20" i="7"/>
  <c r="H20" i="7" s="1"/>
  <c r="E30" i="7"/>
  <c r="H30" i="7" s="1"/>
  <c r="E40" i="7"/>
  <c r="H40" i="7" s="1"/>
  <c r="D38" i="7"/>
  <c r="G38" i="7" s="1"/>
  <c r="J38" i="7" s="1"/>
  <c r="M38" i="7" s="1"/>
  <c r="D26" i="7"/>
  <c r="G26" i="7" s="1"/>
  <c r="D21" i="7"/>
  <c r="G21" i="7" s="1"/>
  <c r="J21" i="7" s="1"/>
  <c r="M21" i="7" s="1"/>
  <c r="D22" i="7"/>
  <c r="G22" i="7" s="1"/>
  <c r="D20" i="7"/>
  <c r="G20" i="7" s="1"/>
  <c r="D14" i="7"/>
  <c r="G14" i="7" s="1"/>
  <c r="D30" i="7"/>
  <c r="G30" i="7" s="1"/>
  <c r="D29" i="7"/>
  <c r="G29" i="7" s="1"/>
  <c r="D13" i="7"/>
  <c r="G13" i="7" s="1"/>
  <c r="J13" i="7" s="1"/>
  <c r="M13" i="7" s="1"/>
  <c r="D17" i="7"/>
  <c r="G17" i="7" s="1"/>
  <c r="J17" i="7" s="1"/>
  <c r="M17" i="7" s="1"/>
  <c r="K30" i="5"/>
  <c r="W30" i="5" s="1"/>
  <c r="D23" i="7"/>
  <c r="G23" i="7" s="1"/>
  <c r="D36" i="7"/>
  <c r="G36" i="7" s="1"/>
  <c r="F41" i="7"/>
  <c r="I41" i="7" s="1"/>
  <c r="F16" i="7"/>
  <c r="I16" i="7" s="1"/>
  <c r="F29" i="7"/>
  <c r="I29" i="7" s="1"/>
  <c r="F14" i="7"/>
  <c r="I14" i="7" s="1"/>
  <c r="D12" i="7"/>
  <c r="G12" i="7" s="1"/>
  <c r="J12" i="7" s="1"/>
  <c r="M12" i="7" s="1"/>
  <c r="F30" i="7"/>
  <c r="I30" i="7" s="1"/>
  <c r="F34" i="7"/>
  <c r="I34" i="7" s="1"/>
  <c r="F15" i="7"/>
  <c r="I15" i="7" s="1"/>
  <c r="D28" i="7"/>
  <c r="G28" i="7" s="1"/>
  <c r="D41" i="7"/>
  <c r="G41" i="7" s="1"/>
  <c r="F18" i="7"/>
  <c r="I18" i="7" s="1"/>
  <c r="F32" i="7"/>
  <c r="I32" i="7" s="1"/>
  <c r="D27" i="7"/>
  <c r="G27" i="7" s="1"/>
  <c r="J27" i="7" s="1"/>
  <c r="M27" i="7" s="1"/>
  <c r="D32" i="7"/>
  <c r="G32" i="7" s="1"/>
  <c r="F23" i="7"/>
  <c r="I23" i="7" s="1"/>
  <c r="F11" i="7"/>
  <c r="I11" i="7" s="1"/>
  <c r="F19" i="7"/>
  <c r="I19" i="7" s="1"/>
  <c r="D35" i="7"/>
  <c r="G35" i="7" s="1"/>
  <c r="D40" i="7"/>
  <c r="G40" i="7" s="1"/>
  <c r="J40" i="7" s="1"/>
  <c r="M40" i="7" s="1"/>
  <c r="D25" i="7"/>
  <c r="G25" i="7" s="1"/>
  <c r="J25" i="7" s="1"/>
  <c r="M25" i="7" s="1"/>
  <c r="D39" i="7"/>
  <c r="G39" i="7" s="1"/>
  <c r="F24" i="7"/>
  <c r="I24" i="7" s="1"/>
  <c r="F33" i="7"/>
  <c r="I33" i="7" s="1"/>
  <c r="D16" i="7"/>
  <c r="G16" i="7" s="1"/>
  <c r="F12" i="7"/>
  <c r="I12" i="7" s="1"/>
  <c r="J36" i="7"/>
  <c r="M36" i="7" s="1"/>
  <c r="J31" i="7" l="1"/>
  <c r="M31" i="7" s="1"/>
  <c r="J23" i="7"/>
  <c r="M23" i="7" s="1"/>
  <c r="J22" i="7"/>
  <c r="M22" i="7" s="1"/>
  <c r="Q20" i="7" s="1"/>
  <c r="J11" i="7"/>
  <c r="M11" i="7" s="1"/>
  <c r="J37" i="7"/>
  <c r="M37" i="7" s="1"/>
  <c r="J26" i="7"/>
  <c r="M26" i="7" s="1"/>
  <c r="U20" i="7" s="1"/>
  <c r="D3" i="7" s="1"/>
  <c r="J14" i="7"/>
  <c r="M14" i="7" s="1"/>
  <c r="J29" i="7"/>
  <c r="M29" i="7" s="1"/>
  <c r="T20" i="7" s="1"/>
  <c r="J19" i="7"/>
  <c r="M19" i="7" s="1"/>
  <c r="J33" i="7"/>
  <c r="M33" i="7" s="1"/>
  <c r="J15" i="7"/>
  <c r="M15" i="7" s="1"/>
  <c r="J24" i="7"/>
  <c r="M24" i="7" s="1"/>
  <c r="J32" i="7"/>
  <c r="M32" i="7" s="1"/>
  <c r="J41" i="7"/>
  <c r="M41" i="7" s="1"/>
  <c r="J16" i="7"/>
  <c r="M16" i="7" s="1"/>
  <c r="J35" i="7"/>
  <c r="M35" i="7" s="1"/>
  <c r="Q21" i="7" s="1"/>
  <c r="J30" i="7"/>
  <c r="M30" i="7" s="1"/>
  <c r="J28" i="7"/>
  <c r="M28" i="7" s="1"/>
  <c r="J20" i="7"/>
  <c r="J34" i="7"/>
  <c r="M34" i="7" s="1"/>
  <c r="J39" i="7"/>
  <c r="M39" i="7" s="1"/>
  <c r="S20" i="7"/>
  <c r="C8" i="1"/>
  <c r="P20" i="7" l="1"/>
  <c r="P21" i="7"/>
  <c r="R20" i="7"/>
  <c r="C3" i="7" s="1"/>
  <c r="R21" i="7"/>
  <c r="C4" i="7" s="1"/>
  <c r="T21" i="7"/>
  <c r="U21" i="7"/>
  <c r="D4" i="7" s="1"/>
  <c r="S21" i="7"/>
  <c r="C10" i="1"/>
  <c r="C3" i="1" l="1"/>
  <c r="C4" i="1"/>
  <c r="C5" i="1"/>
  <c r="C6" i="1"/>
  <c r="C7" i="1"/>
  <c r="C9" i="1"/>
  <c r="C11" i="1"/>
  <c r="C12" i="1"/>
  <c r="C13" i="1"/>
  <c r="C14" i="1"/>
  <c r="C15" i="1"/>
  <c r="C16" i="1"/>
  <c r="C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Nick</author>
  </authors>
  <commentList>
    <comment ref="A1" authorId="0" shapeId="0" xr:uid="{A616F4A8-FBAB-FC4F-91E1-38E8F2F85CF8}">
      <text>
        <r>
          <rPr>
            <b/>
            <sz val="10"/>
            <color rgb="FF000000"/>
            <rFont val="Tahoma"/>
            <family val="2"/>
          </rPr>
          <t>Nick:</t>
        </r>
        <r>
          <rPr>
            <sz val="10"/>
            <color rgb="FF000000"/>
            <rFont val="Tahoma"/>
            <family val="2"/>
          </rPr>
          <t xml:space="preserve">
</t>
        </r>
        <r>
          <rPr>
            <sz val="10"/>
            <color rgb="FF000000"/>
            <rFont val="Tahoma"/>
            <family val="2"/>
          </rPr>
          <t>If it's used in the model anywhere it should be here</t>
        </r>
      </text>
    </comment>
    <comment ref="G1" authorId="0" shapeId="0" xr:uid="{8B647E49-3A76-1642-ACD4-8184B0B79C40}">
      <text>
        <r>
          <rPr>
            <b/>
            <sz val="10"/>
            <color rgb="FF000000"/>
            <rFont val="Tahoma"/>
            <family val="2"/>
          </rPr>
          <t>Nick:</t>
        </r>
        <r>
          <rPr>
            <sz val="10"/>
            <color rgb="FF000000"/>
            <rFont val="Tahoma"/>
            <family val="2"/>
          </rPr>
          <t xml:space="preserve">
</t>
        </r>
        <r>
          <rPr>
            <sz val="10"/>
            <color rgb="FF000000"/>
            <rFont val="Tahoma"/>
            <family val="2"/>
          </rPr>
          <t>put log-transformed error for model fit here</t>
        </r>
      </text>
    </comment>
    <comment ref="I4" authorId="0" shapeId="0" xr:uid="{158F6C90-8D92-4C4A-ADBC-F175FB10F971}">
      <text>
        <r>
          <rPr>
            <b/>
            <sz val="10"/>
            <color rgb="FF000000"/>
            <rFont val="Tahoma"/>
            <family val="2"/>
          </rPr>
          <t>Nick:</t>
        </r>
        <r>
          <rPr>
            <sz val="10"/>
            <color rgb="FF000000"/>
            <rFont val="Tahoma"/>
            <family val="2"/>
          </rPr>
          <t xml:space="preserve">
</t>
        </r>
        <r>
          <rPr>
            <sz val="10"/>
            <color rgb="FF000000"/>
            <rFont val="Tahoma"/>
            <family val="2"/>
          </rPr>
          <t>Transition SD's should match for the choice pairs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 Jonasson</author>
    <author>bjonasson</author>
    <author>Brian Jonasson</author>
    <author>Brian C Jonasson</author>
  </authors>
  <commentList>
    <comment ref="L10" authorId="0" shapeId="0" xr:uid="{FCF7C9CF-DA0E-5947-90E6-02C116A22D38}">
      <text>
        <r>
          <rPr>
            <b/>
            <sz val="8"/>
            <color rgb="FF000000"/>
            <rFont val="Tahoma"/>
            <family val="2"/>
          </rPr>
          <t>B Jonasson:</t>
        </r>
        <r>
          <rPr>
            <sz val="8"/>
            <color rgb="FF000000"/>
            <rFont val="Tahoma"/>
            <family val="2"/>
          </rPr>
          <t xml:space="preserve">
</t>
        </r>
        <r>
          <rPr>
            <sz val="8"/>
            <color rgb="FF000000"/>
            <rFont val="Tahoma"/>
            <family val="2"/>
          </rPr>
          <t xml:space="preserve">estimated by: Smolt equivalents at LGD/summer parr survival to LGD
</t>
        </r>
        <r>
          <rPr>
            <sz val="8"/>
            <color rgb="FF000000"/>
            <rFont val="Tahoma"/>
            <family val="2"/>
          </rPr>
          <t xml:space="preserve">
</t>
        </r>
        <r>
          <rPr>
            <sz val="8"/>
            <color rgb="FF000000"/>
            <rFont val="Tahoma"/>
            <family val="2"/>
          </rPr>
          <t>This will give the number of late summer parr that produced the smolt equivalents at Lower Granite Dam.</t>
        </r>
      </text>
    </comment>
    <comment ref="M10" authorId="1" shapeId="0" xr:uid="{44D53625-FF8E-3547-9120-4C07CD6454F7}">
      <text>
        <r>
          <rPr>
            <b/>
            <sz val="8"/>
            <color rgb="FF000000"/>
            <rFont val="Tahoma"/>
            <family val="2"/>
          </rPr>
          <t>bjonasson:</t>
        </r>
        <r>
          <rPr>
            <sz val="8"/>
            <color rgb="FF000000"/>
            <rFont val="Tahoma"/>
            <family val="2"/>
          </rPr>
          <t xml:space="preserve">
</t>
        </r>
        <r>
          <rPr>
            <sz val="8"/>
            <color rgb="FF000000"/>
            <rFont val="Tahoma"/>
            <family val="2"/>
          </rPr>
          <t>adjusted to account for redds below screw trap</t>
        </r>
      </text>
    </comment>
    <comment ref="C32" authorId="1" shapeId="0" xr:uid="{F2A73267-53EF-2749-9557-A3CA92DF9340}">
      <text>
        <r>
          <rPr>
            <b/>
            <sz val="8"/>
            <color rgb="FF000000"/>
            <rFont val="Tahoma"/>
            <family val="2"/>
          </rPr>
          <t>bjonasson:</t>
        </r>
        <r>
          <rPr>
            <sz val="8"/>
            <color rgb="FF000000"/>
            <rFont val="Tahoma"/>
            <family val="2"/>
          </rPr>
          <t xml:space="preserve">
</t>
        </r>
        <r>
          <rPr>
            <sz val="8"/>
            <color rgb="FF000000"/>
            <rFont val="Tahoma"/>
            <family val="2"/>
          </rPr>
          <t>includes 5 redds in Sheep Creek</t>
        </r>
      </text>
    </comment>
    <comment ref="C33" authorId="2" shapeId="0" xr:uid="{EEFD76A2-04C5-B847-B422-7C9C6A78BB96}">
      <text>
        <r>
          <rPr>
            <b/>
            <sz val="8"/>
            <color indexed="81"/>
            <rFont val="Tahoma"/>
            <family val="2"/>
          </rPr>
          <t>Brian Jonasson:</t>
        </r>
        <r>
          <rPr>
            <sz val="8"/>
            <color indexed="81"/>
            <rFont val="Tahoma"/>
            <family val="2"/>
          </rPr>
          <t xml:space="preserve">
includes 1 redd in Sheep Creek</t>
        </r>
      </text>
    </comment>
    <comment ref="K33" authorId="0" shapeId="0" xr:uid="{8578A06C-B8F2-C44C-B11A-A1EB16084C1F}">
      <text>
        <r>
          <rPr>
            <b/>
            <sz val="8"/>
            <color rgb="FF000000"/>
            <rFont val="Tahoma"/>
            <family val="2"/>
          </rPr>
          <t>B Jonasson:</t>
        </r>
        <r>
          <rPr>
            <sz val="8"/>
            <color rgb="FF000000"/>
            <rFont val="Tahoma"/>
            <family val="2"/>
          </rPr>
          <t xml:space="preserve">
</t>
        </r>
        <r>
          <rPr>
            <sz val="8"/>
            <color rgb="FF000000"/>
            <rFont val="Tahoma"/>
            <family val="2"/>
          </rPr>
          <t>trap located at rkm 257 (Orodell)</t>
        </r>
      </text>
    </comment>
    <comment ref="C34" authorId="2" shapeId="0" xr:uid="{090F48F1-79C5-1849-86E6-A75D538DB155}">
      <text>
        <r>
          <rPr>
            <b/>
            <sz val="8"/>
            <color rgb="FF000000"/>
            <rFont val="Tahoma"/>
            <family val="2"/>
          </rPr>
          <t>Brian Jonasson:</t>
        </r>
        <r>
          <rPr>
            <sz val="8"/>
            <color rgb="FF000000"/>
            <rFont val="Tahoma"/>
            <family val="2"/>
          </rPr>
          <t xml:space="preserve">
</t>
        </r>
        <r>
          <rPr>
            <sz val="8"/>
            <color rgb="FF000000"/>
            <rFont val="Tahoma"/>
            <family val="2"/>
          </rPr>
          <t>did not survey Vey Meadows</t>
        </r>
      </text>
    </comment>
    <comment ref="C35" authorId="2" shapeId="0" xr:uid="{4BAD68D2-07FE-604A-8043-38BAB050C1AA}">
      <text>
        <r>
          <rPr>
            <b/>
            <sz val="8"/>
            <color indexed="81"/>
            <rFont val="Tahoma"/>
            <family val="2"/>
          </rPr>
          <t>Brian Jonasson:</t>
        </r>
        <r>
          <rPr>
            <sz val="8"/>
            <color indexed="81"/>
            <rFont val="Tahoma"/>
            <family val="2"/>
          </rPr>
          <t xml:space="preserve">
did not survey Vey Meadows</t>
        </r>
      </text>
    </comment>
    <comment ref="C36" authorId="2" shapeId="0" xr:uid="{E9478152-3B60-DD4E-9FA8-FC7D875BABAF}">
      <text>
        <r>
          <rPr>
            <b/>
            <sz val="8"/>
            <color indexed="81"/>
            <rFont val="Tahoma"/>
            <family val="2"/>
          </rPr>
          <t>Brian Jonasson:</t>
        </r>
        <r>
          <rPr>
            <sz val="8"/>
            <color indexed="81"/>
            <rFont val="Tahoma"/>
            <family val="2"/>
          </rPr>
          <t xml:space="preserve">
did not survey Vey Meadows</t>
        </r>
      </text>
    </comment>
    <comment ref="C37" authorId="0" shapeId="0" xr:uid="{D6F11E8E-E7B7-1D47-8C89-7B84C24192D6}">
      <text>
        <r>
          <rPr>
            <b/>
            <sz val="8"/>
            <color indexed="81"/>
            <rFont val="Tahoma"/>
            <family val="2"/>
          </rPr>
          <t>B Jonasson:</t>
        </r>
        <r>
          <rPr>
            <sz val="8"/>
            <color indexed="81"/>
            <rFont val="Tahoma"/>
            <family val="2"/>
          </rPr>
          <t xml:space="preserve">
did not survey Vey Meadows;
336 redds GRR,and 
9 in Sheep Cr,
15 in Limber Jim Cr, and 
0 in Meadow Cr</t>
        </r>
      </text>
    </comment>
    <comment ref="C38" authorId="0" shapeId="0" xr:uid="{4D070020-7D17-4D49-96B6-8E39E5FD9F04}">
      <text>
        <r>
          <rPr>
            <b/>
            <sz val="8"/>
            <color indexed="81"/>
            <rFont val="Tahoma"/>
            <family val="2"/>
          </rPr>
          <t>B Jonasson:</t>
        </r>
        <r>
          <rPr>
            <sz val="8"/>
            <color indexed="81"/>
            <rFont val="Tahoma"/>
            <family val="2"/>
          </rPr>
          <t xml:space="preserve">
did not survey Vey Meadows;
225 redds GRR,and 
2 in Sheep Cr,
0 in Limber Jim Cr,
0 in McCoy Cr, and 
0 in Meadow Cr</t>
        </r>
      </text>
    </comment>
    <comment ref="C39" authorId="3" shapeId="0" xr:uid="{00F43AFE-A026-7041-B1B8-E2BFBBEC0057}">
      <text>
        <r>
          <rPr>
            <b/>
            <sz val="9"/>
            <color rgb="FF000000"/>
            <rFont val="Tahoma"/>
            <family val="2"/>
          </rPr>
          <t>Brian C Jonasson:</t>
        </r>
        <r>
          <rPr>
            <sz val="9"/>
            <color rgb="FF000000"/>
            <rFont val="Tahoma"/>
            <family val="2"/>
          </rPr>
          <t xml:space="preserve">
</t>
        </r>
        <r>
          <rPr>
            <sz val="9"/>
            <color rgb="FF000000"/>
            <rFont val="Tahoma"/>
            <family val="2"/>
          </rPr>
          <t xml:space="preserve">did not survey Vey Meadows;
</t>
        </r>
        <r>
          <rPr>
            <sz val="9"/>
            <color rgb="FF000000"/>
            <rFont val="Tahoma"/>
            <family val="2"/>
          </rPr>
          <t>0 redds in Limber Jim, Sheep, Meadow, McCoy</t>
        </r>
      </text>
    </comment>
    <comment ref="C40" authorId="3" shapeId="0" xr:uid="{53E37A47-A777-6842-A60C-B7B6E08FD705}">
      <text>
        <r>
          <rPr>
            <b/>
            <sz val="9"/>
            <color indexed="81"/>
            <rFont val="Tahoma"/>
            <family val="2"/>
          </rPr>
          <t>Brian C Jonasson:</t>
        </r>
        <r>
          <rPr>
            <sz val="9"/>
            <color indexed="81"/>
            <rFont val="Tahoma"/>
            <family val="2"/>
          </rPr>
          <t xml:space="preserve">
did not survey Vey Meadows;
total includes 
Limber Jim = 0 redds
Sheep Creek = 9 redds
</t>
        </r>
      </text>
    </comment>
    <comment ref="C41" authorId="3" shapeId="0" xr:uid="{0BA6FEA5-32AF-4E4C-9B96-30DBA30B6C18}">
      <text>
        <r>
          <rPr>
            <b/>
            <sz val="9"/>
            <color indexed="81"/>
            <rFont val="Tahoma"/>
            <family val="2"/>
          </rPr>
          <t>Brian C Jonasson:</t>
        </r>
        <r>
          <rPr>
            <sz val="9"/>
            <color indexed="81"/>
            <rFont val="Tahoma"/>
            <family val="2"/>
          </rPr>
          <t xml:space="preserve">
did not survey Vey Meadows;
total includes 
Upper Grande Ronde = 261
Limber Jim = 0 redds
Sheep Creek = 31 redds
McCoy Creek = 1 redd
Meadow Creek = 0 redds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Nick</author>
  </authors>
  <commentList>
    <comment ref="S18" authorId="0" shapeId="0" xr:uid="{8699A8CD-9B93-9547-8C1F-FE2667514D19}">
      <text>
        <r>
          <rPr>
            <b/>
            <sz val="10"/>
            <color rgb="FF000000"/>
            <rFont val="Calibri"/>
            <family val="2"/>
          </rPr>
          <t>Nick:</t>
        </r>
        <r>
          <rPr>
            <sz val="10"/>
            <color rgb="FF000000"/>
            <rFont val="Calibri"/>
            <family val="2"/>
          </rPr>
          <t xml:space="preserve">
</t>
        </r>
        <r>
          <rPr>
            <sz val="10"/>
            <color rgb="FF000000"/>
            <rFont val="Calibri"/>
            <family val="2"/>
          </rPr>
          <t>This will stay at 100%</t>
        </r>
      </text>
    </comment>
    <comment ref="S46" authorId="0" shapeId="0" xr:uid="{0FBF2327-274E-2245-A5F4-BF289143A347}">
      <text>
        <r>
          <rPr>
            <b/>
            <sz val="10"/>
            <color rgb="FF000000"/>
            <rFont val="Calibri"/>
            <family val="2"/>
          </rPr>
          <t>Nick:</t>
        </r>
        <r>
          <rPr>
            <sz val="10"/>
            <color rgb="FF000000"/>
            <rFont val="Calibri"/>
            <family val="2"/>
          </rPr>
          <t xml:space="preserve">
</t>
        </r>
        <r>
          <rPr>
            <sz val="10"/>
            <color rgb="FF000000"/>
            <rFont val="Calibri"/>
            <family val="2"/>
          </rPr>
          <t>This will stay at 100%</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Nick</author>
    <author>Peter McHugh</author>
  </authors>
  <commentList>
    <comment ref="R16" authorId="0" shapeId="0" xr:uid="{DD2E6029-5D36-5541-ABD6-B225F1202516}">
      <text>
        <r>
          <rPr>
            <b/>
            <sz val="10"/>
            <color rgb="FF000000"/>
            <rFont val="Calibri"/>
            <family val="2"/>
          </rPr>
          <t>Nick:</t>
        </r>
        <r>
          <rPr>
            <sz val="10"/>
            <color rgb="FF000000"/>
            <rFont val="Calibri"/>
            <family val="2"/>
          </rPr>
          <t xml:space="preserve">
</t>
        </r>
        <r>
          <rPr>
            <sz val="10"/>
            <color rgb="FF000000"/>
            <rFont val="Calibri"/>
            <family val="2"/>
          </rPr>
          <t>This will stay at 100%</t>
        </r>
      </text>
    </comment>
    <comment ref="E30" authorId="1" shapeId="0" xr:uid="{DE896F7E-91D1-B642-A0C2-3A36D3B53815}">
      <text>
        <r>
          <rPr>
            <b/>
            <sz val="9"/>
            <color rgb="FF000000"/>
            <rFont val="Tahoma"/>
            <family val="2"/>
          </rPr>
          <t>Peter McHugh:</t>
        </r>
        <r>
          <rPr>
            <sz val="9"/>
            <color rgb="FF000000"/>
            <rFont val="Tahoma"/>
            <family val="2"/>
          </rPr>
          <t xml:space="preserve">
</t>
        </r>
        <r>
          <rPr>
            <sz val="9"/>
            <color rgb="FF000000"/>
            <rFont val="Tahoma"/>
            <family val="2"/>
          </rPr>
          <t>estimated based on average ratio of 3-salt to 2-salt...</t>
        </r>
      </text>
    </comment>
    <comment ref="M31" authorId="0" shapeId="0" xr:uid="{1B849EF0-D828-7948-8186-3F6F8C022075}">
      <text>
        <r>
          <rPr>
            <b/>
            <sz val="10"/>
            <color rgb="FF000000"/>
            <rFont val="Calibri"/>
            <family val="2"/>
          </rPr>
          <t>Nick:</t>
        </r>
        <r>
          <rPr>
            <sz val="10"/>
            <color rgb="FF000000"/>
            <rFont val="Calibri"/>
            <family val="2"/>
          </rPr>
          <t xml:space="preserve">
</t>
        </r>
        <r>
          <rPr>
            <sz val="10"/>
            <color rgb="FF000000"/>
            <rFont val="Calibri"/>
            <family val="2"/>
          </rPr>
          <t>Use these values as model inputs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Nick</author>
  </authors>
  <commentList>
    <comment ref="I24" authorId="0" shapeId="0" xr:uid="{4B7D60D1-D774-584E-9E5A-32A99147CAD0}">
      <text>
        <r>
          <rPr>
            <b/>
            <sz val="10"/>
            <color rgb="FF000000"/>
            <rFont val="Tahoma"/>
            <family val="2"/>
          </rPr>
          <t>Nick:</t>
        </r>
        <r>
          <rPr>
            <sz val="10"/>
            <color rgb="FF000000"/>
            <rFont val="Tahoma"/>
            <family val="2"/>
          </rPr>
          <t xml:space="preserve">
</t>
        </r>
        <r>
          <rPr>
            <sz val="10"/>
            <color rgb="FF000000"/>
            <rFont val="Tahoma"/>
            <family val="2"/>
          </rPr>
          <t>Capacity in the model is on Eggs, we use 3831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Nick</author>
  </authors>
  <commentList>
    <comment ref="I31" authorId="0" shapeId="0" xr:uid="{DA5F50A2-939D-7C47-8966-9BAC2FF1FC71}">
      <text>
        <r>
          <rPr>
            <b/>
            <sz val="10"/>
            <color rgb="FF000000"/>
            <rFont val="Tahoma"/>
            <family val="2"/>
          </rPr>
          <t>Nick:</t>
        </r>
        <r>
          <rPr>
            <sz val="10"/>
            <color rgb="FF000000"/>
            <rFont val="Tahoma"/>
            <family val="2"/>
          </rPr>
          <t xml:space="preserve">
</t>
        </r>
        <r>
          <rPr>
            <sz val="10"/>
            <color rgb="FF000000"/>
            <rFont val="Tahoma"/>
            <family val="2"/>
          </rPr>
          <t>Capacity in the model is on Eggs, we use 3831</t>
        </r>
      </text>
    </comment>
    <comment ref="M51" authorId="0" shapeId="0" xr:uid="{163D1A75-9956-9C46-A5CB-5A4EE8C0653D}">
      <text>
        <r>
          <rPr>
            <b/>
            <sz val="10"/>
            <color rgb="FF000000"/>
            <rFont val="Tahoma"/>
            <family val="2"/>
          </rPr>
          <t>Nick:</t>
        </r>
        <r>
          <rPr>
            <sz val="10"/>
            <color rgb="FF000000"/>
            <rFont val="Tahoma"/>
            <family val="2"/>
          </rPr>
          <t xml:space="preserve">
</t>
        </r>
        <r>
          <rPr>
            <sz val="10"/>
            <color rgb="FF000000"/>
            <rFont val="Tahoma"/>
            <family val="2"/>
          </rPr>
          <t>Adjust these so that Realized Survival eauals Mean Survival above, given S1_Curr</t>
        </r>
      </text>
    </comment>
  </commentList>
</comments>
</file>

<file path=xl/sharedStrings.xml><?xml version="1.0" encoding="utf-8"?>
<sst xmlns="http://schemas.openxmlformats.org/spreadsheetml/2006/main" count="915" uniqueCount="322">
  <si>
    <t>Stage1</t>
  </si>
  <si>
    <t>Stage2</t>
  </si>
  <si>
    <t>Egg</t>
  </si>
  <si>
    <t>Fry</t>
  </si>
  <si>
    <t>Parr</t>
  </si>
  <si>
    <t>LGDSmolt</t>
  </si>
  <si>
    <t>OceanAdult1</t>
  </si>
  <si>
    <t>LGDAdult1</t>
  </si>
  <si>
    <t>OceanAdult2</t>
  </si>
  <si>
    <t>LGDAdult2</t>
  </si>
  <si>
    <t>LGDAdult3</t>
  </si>
  <si>
    <t>years</t>
  </si>
  <si>
    <t>runs</t>
  </si>
  <si>
    <t>scenario</t>
  </si>
  <si>
    <t>Stage_Transition</t>
  </si>
  <si>
    <t>Productivity</t>
  </si>
  <si>
    <t>Productivity_SD</t>
  </si>
  <si>
    <t>Capacity</t>
  </si>
  <si>
    <t>Transition</t>
  </si>
  <si>
    <t>Transition_SD</t>
  </si>
  <si>
    <t>PreSmoltHeadwaters</t>
  </si>
  <si>
    <t>PreSmoltValley</t>
  </si>
  <si>
    <t>Capacity_SD</t>
  </si>
  <si>
    <t>population</t>
  </si>
  <si>
    <t>CC or UGR</t>
  </si>
  <si>
    <t>CC</t>
  </si>
  <si>
    <t>seed_fry</t>
  </si>
  <si>
    <t>seed_hatchery_smolt</t>
  </si>
  <si>
    <t>scenerio</t>
  </si>
  <si>
    <t>how many years to model</t>
  </si>
  <si>
    <t>runs to model</t>
  </si>
  <si>
    <t>starting fry model seed</t>
  </si>
  <si>
    <t>starting hatchery smolt model seed</t>
  </si>
  <si>
    <t>HatchRelease</t>
  </si>
  <si>
    <t>LGDAdult</t>
  </si>
  <si>
    <t>TrapAdult</t>
  </si>
  <si>
    <t>Spawner</t>
  </si>
  <si>
    <t>PassedAdult</t>
  </si>
  <si>
    <t>Natural_Cap_Scaler</t>
  </si>
  <si>
    <t>Hatchery_Cap_Scaler</t>
  </si>
  <si>
    <t>TotalSpawner</t>
  </si>
  <si>
    <t>Natural_Prod_Scaler</t>
  </si>
  <si>
    <t>Hatchery_Prod_Scaler</t>
  </si>
  <si>
    <t>Population</t>
  </si>
  <si>
    <t>UGR</t>
  </si>
  <si>
    <t>Scenario</t>
  </si>
  <si>
    <t>Curr</t>
  </si>
  <si>
    <t>PNV</t>
  </si>
  <si>
    <t>HiPr</t>
  </si>
  <si>
    <t>Clim</t>
  </si>
  <si>
    <t>ClimVeg</t>
  </si>
  <si>
    <t>ClimVegWid</t>
  </si>
  <si>
    <t>stochasticity</t>
  </si>
  <si>
    <t>Stochasticity</t>
  </si>
  <si>
    <t>ON</t>
  </si>
  <si>
    <t>OFF</t>
  </si>
  <si>
    <t xml:space="preserve">    adults and jacks detected at Lower Granite Dam from smolt migration years 2001 to 2014.</t>
  </si>
  <si>
    <t>Smolt</t>
  </si>
  <si>
    <t>Jacks</t>
  </si>
  <si>
    <t>Adults</t>
  </si>
  <si>
    <t>Percent</t>
  </si>
  <si>
    <t>Overall SAR (w/ jack, B.19)</t>
  </si>
  <si>
    <t>OA2 ret</t>
  </si>
  <si>
    <t>OA3 ret</t>
  </si>
  <si>
    <t>Survival</t>
  </si>
  <si>
    <t>Maturation</t>
  </si>
  <si>
    <t>Expected</t>
  </si>
  <si>
    <t>1-salt</t>
  </si>
  <si>
    <t>2-salt</t>
  </si>
  <si>
    <t>3-salt</t>
  </si>
  <si>
    <t>SAR</t>
  </si>
  <si>
    <t>S1</t>
  </si>
  <si>
    <t>S2</t>
  </si>
  <si>
    <t>S3</t>
  </si>
  <si>
    <t>m1</t>
  </si>
  <si>
    <t>m2</t>
  </si>
  <si>
    <t>m3</t>
  </si>
  <si>
    <t>Average (2001–2013)</t>
  </si>
  <si>
    <r>
      <rPr>
        <b/>
        <sz val="12"/>
        <rFont val="Calibri"/>
        <family val="2"/>
        <scheme val="minor"/>
      </rPr>
      <t>Table F.4</t>
    </r>
    <r>
      <rPr>
        <sz val="12"/>
        <rFont val="Calibri"/>
        <family val="2"/>
        <scheme val="minor"/>
      </rPr>
      <t xml:space="preserve">  Age composition of returning PIT-tagged CATHERINE CREEK HATCHERY SPRING CHINOOK</t>
    </r>
  </si>
  <si>
    <r>
      <t>2006</t>
    </r>
    <r>
      <rPr>
        <vertAlign val="superscript"/>
        <sz val="12"/>
        <rFont val="Calibri"/>
        <family val="2"/>
        <scheme val="minor"/>
      </rPr>
      <t>A</t>
    </r>
  </si>
  <si>
    <r>
      <t>2007</t>
    </r>
    <r>
      <rPr>
        <vertAlign val="superscript"/>
        <sz val="12"/>
        <rFont val="Calibri"/>
        <family val="2"/>
        <scheme val="minor"/>
      </rPr>
      <t>A</t>
    </r>
  </si>
  <si>
    <r>
      <t>2008</t>
    </r>
    <r>
      <rPr>
        <vertAlign val="superscript"/>
        <sz val="12"/>
        <rFont val="Calibri"/>
        <family val="2"/>
        <scheme val="minor"/>
      </rPr>
      <t>A</t>
    </r>
  </si>
  <si>
    <r>
      <t>2009</t>
    </r>
    <r>
      <rPr>
        <vertAlign val="superscript"/>
        <sz val="12"/>
        <rFont val="Calibri"/>
        <family val="2"/>
        <scheme val="minor"/>
      </rPr>
      <t>A</t>
    </r>
  </si>
  <si>
    <r>
      <t>2010</t>
    </r>
    <r>
      <rPr>
        <vertAlign val="superscript"/>
        <sz val="12"/>
        <rFont val="Calibri"/>
        <family val="2"/>
        <scheme val="minor"/>
      </rPr>
      <t>A</t>
    </r>
  </si>
  <si>
    <r>
      <t>2011</t>
    </r>
    <r>
      <rPr>
        <vertAlign val="superscript"/>
        <sz val="12"/>
        <rFont val="Calibri"/>
        <family val="2"/>
        <scheme val="minor"/>
      </rPr>
      <t>A</t>
    </r>
  </si>
  <si>
    <r>
      <t>2012</t>
    </r>
    <r>
      <rPr>
        <vertAlign val="superscript"/>
        <sz val="12"/>
        <rFont val="Calibri"/>
        <family val="2"/>
        <scheme val="minor"/>
      </rPr>
      <t>A</t>
    </r>
    <r>
      <rPr>
        <sz val="12"/>
        <rFont val="Calibri"/>
        <family val="2"/>
        <scheme val="minor"/>
      </rPr>
      <t xml:space="preserve"> </t>
    </r>
  </si>
  <si>
    <r>
      <t>2013</t>
    </r>
    <r>
      <rPr>
        <vertAlign val="superscript"/>
        <sz val="12"/>
        <rFont val="Calibri"/>
        <family val="2"/>
        <scheme val="minor"/>
      </rPr>
      <t>A</t>
    </r>
  </si>
  <si>
    <r>
      <t>2014</t>
    </r>
    <r>
      <rPr>
        <vertAlign val="superscript"/>
        <sz val="12"/>
        <rFont val="Calibri"/>
        <family val="2"/>
        <scheme val="minor"/>
      </rPr>
      <t xml:space="preserve"> A, B</t>
    </r>
  </si>
  <si>
    <r>
      <t>A</t>
    </r>
    <r>
      <rPr>
        <sz val="12"/>
        <rFont val="Calibri"/>
        <family val="2"/>
        <scheme val="minor"/>
      </rPr>
      <t xml:space="preserve"> Smolt migration year 2006–2014 data are from combined T &amp; R groups.</t>
    </r>
  </si>
  <si>
    <r>
      <t>B</t>
    </r>
    <r>
      <rPr>
        <sz val="12"/>
        <rFont val="Calibri"/>
        <family val="2"/>
        <scheme val="minor"/>
      </rPr>
      <t xml:space="preserve"> Incomplete adult returns through 9/16/2016 at GRA; not included in average.</t>
    </r>
  </si>
  <si>
    <t>Smolt to Adult Return Ratios (SAR)</t>
  </si>
  <si>
    <t>Summary</t>
  </si>
  <si>
    <t>Migration Year</t>
  </si>
  <si>
    <t>The smolt to adult ration (SAR) relies on CSS data from bonneville dam and back, thus, for the sake of this model framework the ocean begins and ends at Bonneville Dam</t>
  </si>
  <si>
    <t>Data</t>
  </si>
  <si>
    <t>Smolts</t>
  </si>
  <si>
    <t>Total Smolt</t>
  </si>
  <si>
    <t>Table B.19</t>
  </si>
  <si>
    <t>SAR Estimate</t>
  </si>
  <si>
    <t>Solver Changes These Cells</t>
  </si>
  <si>
    <t>Observed:Expected</t>
  </si>
  <si>
    <t>Solver sets this to a minimum</t>
  </si>
  <si>
    <t>Estimated by Solver</t>
  </si>
  <si>
    <t>Minimized by Solver</t>
  </si>
  <si>
    <t>Mean =&gt;</t>
  </si>
  <si>
    <t>Median =&gt;</t>
  </si>
  <si>
    <t>Solver Target =&gt;</t>
  </si>
  <si>
    <t>LGDSmolt_LGDAdult1</t>
  </si>
  <si>
    <t>LGDSmolt_OceanAdult1</t>
  </si>
  <si>
    <t>OceanAdult1_LGDAdult2</t>
  </si>
  <si>
    <t>OceanAdult1_OceanAdult2</t>
  </si>
  <si>
    <t>OceanAdult2_LGDAdult3</t>
  </si>
  <si>
    <t>SD =&gt;</t>
  </si>
  <si>
    <t>To Do: Consider adding stochastic component to maturation probability</t>
  </si>
  <si>
    <t>To Do: Consider adding age specific fecundity to the model framework</t>
  </si>
  <si>
    <t>OA1</t>
  </si>
  <si>
    <t>OA2</t>
  </si>
  <si>
    <t>OA3</t>
  </si>
  <si>
    <t>Data URL</t>
  </si>
  <si>
    <t>http://www.fpc.org/documents/CSS/CSS_2016_Final.pdf</t>
  </si>
  <si>
    <t>The SAR and age comp data used to estimate S1, S2, S3, m1, m2 are based on this table from FPC's 2016 CSS report</t>
  </si>
  <si>
    <t>Fecundity - Spawner to Egg</t>
  </si>
  <si>
    <t>Current value is an annual average reported by Van Duke et al. 2008</t>
  </si>
  <si>
    <t>https://www.cbfish.org/Document.mvc/Viewer/P105971</t>
  </si>
  <si>
    <t>Average Value from 1997 - 2005 reported in Table 3. of Van Duke 2009</t>
  </si>
  <si>
    <t>TotalSpawner_Egg</t>
  </si>
  <si>
    <t>Year</t>
  </si>
  <si>
    <t>Fecundity</t>
  </si>
  <si>
    <t>Table 3. Van Dyke 2008</t>
  </si>
  <si>
    <t>To Do: Figure out where this data came from, consider adding to model in age specific fecundity</t>
  </si>
  <si>
    <t>Age</t>
  </si>
  <si>
    <t>Fecundity by Age</t>
  </si>
  <si>
    <t>Egg to Parr Survival Workup</t>
  </si>
  <si>
    <t>Data supplied by ODFW and is ratio of Eggs to predicted late summer Parr</t>
  </si>
  <si>
    <t>Spawner Fecundity</t>
  </si>
  <si>
    <t>Brood Year</t>
  </si>
  <si>
    <t>Redds</t>
  </si>
  <si>
    <t>Age1</t>
  </si>
  <si>
    <t>Age2</t>
  </si>
  <si>
    <t>Age3</t>
  </si>
  <si>
    <t>Eggs1</t>
  </si>
  <si>
    <t>Eggs2</t>
  </si>
  <si>
    <t>Eggs3</t>
  </si>
  <si>
    <t>TotalEggs</t>
  </si>
  <si>
    <t>MigratoryYear</t>
  </si>
  <si>
    <t>Late summer parr</t>
  </si>
  <si>
    <t>Egg to Parr</t>
  </si>
  <si>
    <t>Age 1</t>
  </si>
  <si>
    <t>Age 2</t>
  </si>
  <si>
    <t>Age 3</t>
  </si>
  <si>
    <t>Spawner Age Structure</t>
  </si>
  <si>
    <t>Estimated Egg to Parr Survival</t>
  </si>
  <si>
    <t>Min</t>
  </si>
  <si>
    <t>25th</t>
  </si>
  <si>
    <t>50th</t>
  </si>
  <si>
    <t>75th</t>
  </si>
  <si>
    <t>Max</t>
  </si>
  <si>
    <t>TO DO: Double Check These Tables</t>
  </si>
  <si>
    <t>Model</t>
  </si>
  <si>
    <t>setting_name</t>
  </si>
  <si>
    <t>setting_value</t>
  </si>
  <si>
    <t>Life Cycle Model Specification</t>
  </si>
  <si>
    <t>Years</t>
  </si>
  <si>
    <t>Model Setting</t>
  </si>
  <si>
    <t>Setting Value</t>
  </si>
  <si>
    <t>Setting Description</t>
  </si>
  <si>
    <t>StDev</t>
  </si>
  <si>
    <t>Consider Calibration to Mean Abundances</t>
  </si>
  <si>
    <t>Consider Using Mean Rather Than 50th</t>
  </si>
  <si>
    <t>Fry_Parr</t>
  </si>
  <si>
    <t>Hatchery Release Survival to LGD</t>
  </si>
  <si>
    <t>Data supplied by Casey Justice analysis of smolt survival and length</t>
  </si>
  <si>
    <t>Migration year</t>
  </si>
  <si>
    <t>Survival estimate</t>
  </si>
  <si>
    <t>SE</t>
  </si>
  <si>
    <t>LCL</t>
  </si>
  <si>
    <t>UCL</t>
  </si>
  <si>
    <t>Hatchery Release Survival Summary</t>
  </si>
  <si>
    <t>TODO: Track down and add reference for source table</t>
  </si>
  <si>
    <t>HatchRelease_LGDSmolt</t>
  </si>
  <si>
    <t>Capacity estimates were based on scaling up mean of HSI capacity estimates to the extent of each strata within each temperature scenario</t>
  </si>
  <si>
    <t>Capacity Estimates by Restoration Scenario</t>
  </si>
  <si>
    <t>Pre-Spawn Survival - LGR to Spawning Grounds</t>
  </si>
  <si>
    <t>Mean Capacity</t>
  </si>
  <si>
    <t>StDev Capacity</t>
  </si>
  <si>
    <t>CV</t>
  </si>
  <si>
    <t>Eggs</t>
  </si>
  <si>
    <t>Egg StDev</t>
  </si>
  <si>
    <t>Prespawn mortality estimates compiled by Tracy Bowerman based on multiple data sources (ODFW primarily)</t>
  </si>
  <si>
    <t>From email dated 22 March 2017</t>
  </si>
  <si>
    <t>Data filtered to include only years in which estimates were based on at least 20 fish…</t>
  </si>
  <si>
    <t>CatherineCk</t>
  </si>
  <si>
    <t>UpperGR</t>
  </si>
  <si>
    <t>WidPNV</t>
  </si>
  <si>
    <t>Capacity estimates will be used in each scenario</t>
  </si>
  <si>
    <t>Mean</t>
  </si>
  <si>
    <t>SD</t>
  </si>
  <si>
    <t>A calibration exercise to figure out spawner prod input</t>
  </si>
  <si>
    <t>Target Productivity</t>
  </si>
  <si>
    <t>that's consistent with HSI capacity (Table 1)</t>
  </si>
  <si>
    <t>&amp; obs'd (realized surv) prespawn mortality (Table 2)</t>
  </si>
  <si>
    <t>UGR and CC run size estimate</t>
  </si>
  <si>
    <t>esc</t>
  </si>
  <si>
    <t>real surv</t>
  </si>
  <si>
    <t>Calibrate to achieve spawniing ground size given target survival</t>
  </si>
  <si>
    <t>Upper Grande Ronde</t>
  </si>
  <si>
    <t>Catherine</t>
  </si>
  <si>
    <t>BY</t>
  </si>
  <si>
    <t>Fish</t>
  </si>
  <si>
    <t>This is a simple beverton holt using capacity in S1 to calibrate realized survival</t>
  </si>
  <si>
    <t>Mean on Spawning Grounds</t>
  </si>
  <si>
    <t>PreSpawn Size</t>
  </si>
  <si>
    <t>Adult Spawner Survival and Capacity</t>
  </si>
  <si>
    <t>b</t>
  </si>
  <si>
    <t>SSq</t>
  </si>
  <si>
    <t>Spawner Capacity</t>
  </si>
  <si>
    <t>Parr Capacity</t>
  </si>
  <si>
    <t>% Change</t>
  </si>
  <si>
    <t>Chanage in Parr capacity given riparian restoration and climate scenarios</t>
  </si>
  <si>
    <t>Capacity Diff.</t>
  </si>
  <si>
    <t>Stage_transition</t>
  </si>
  <si>
    <t>ToDo: Review new capacity estimates from model fits and add new parms with SD</t>
  </si>
  <si>
    <t>i.e. Shouldn't frickin be 0</t>
  </si>
  <si>
    <t>Pre-Smolt to LGD Smolt</t>
  </si>
  <si>
    <t>PreSmoltHeadwaters_LGDSmolt</t>
  </si>
  <si>
    <t>PreSmoltValley_LGDSmolt</t>
  </si>
  <si>
    <t>Parr to Pre-smolt movement</t>
  </si>
  <si>
    <t>ToDo: Need to get to the bottom of this data, source etc…..</t>
  </si>
  <si>
    <t>Parr_PreSmoltHeadwaters</t>
  </si>
  <si>
    <t>Parr_PreSmoltValley</t>
  </si>
  <si>
    <t>Shit Yeah You Bitch</t>
  </si>
  <si>
    <t>Median</t>
  </si>
  <si>
    <t>NOTE: I'm currently using the Median for the updated model Sept.  2018</t>
  </si>
  <si>
    <t>To Do: Refine and find better more concrete data for this stage</t>
  </si>
  <si>
    <t>PassedAdult_Spawner</t>
  </si>
  <si>
    <t>Model Name</t>
  </si>
  <si>
    <t>model_name</t>
  </si>
  <si>
    <t>stop_sup</t>
  </si>
  <si>
    <t>Population:</t>
  </si>
  <si>
    <t>Scenario:</t>
  </si>
  <si>
    <t>Years:</t>
  </si>
  <si>
    <t>Model Runs:</t>
  </si>
  <si>
    <t>Seed Fry:</t>
  </si>
  <si>
    <t>Seed Hatchery Smolt:</t>
  </si>
  <si>
    <t>Cease Supplementation:</t>
  </si>
  <si>
    <t>Stochasticity:</t>
  </si>
  <si>
    <t>model</t>
  </si>
  <si>
    <t>User specified, just give it a name</t>
  </si>
  <si>
    <t>Note, I haven't built this in yet</t>
  </si>
  <si>
    <t>setting_type</t>
  </si>
  <si>
    <t>char</t>
  </si>
  <si>
    <t>int</t>
  </si>
  <si>
    <t>Brood year</t>
  </si>
  <si>
    <t>Migratory Year</t>
  </si>
  <si>
    <t>Summer parr</t>
  </si>
  <si>
    <t>Early migrants (fall)</t>
  </si>
  <si>
    <t>Winter residents</t>
  </si>
  <si>
    <t>Late migrants (spring)</t>
  </si>
  <si>
    <t>Winter resident</t>
  </si>
  <si>
    <t>Early migrant</t>
  </si>
  <si>
    <t>Correction Valley PreSmolt</t>
  </si>
  <si>
    <t>Correction Headwaters PreSmolt</t>
  </si>
  <si>
    <t>Catherine Creek Survival to LGD by Tagging Group</t>
  </si>
  <si>
    <t>Estimate Valley PreSmolt (i.e. early migrant)</t>
  </si>
  <si>
    <t>Estimate Headwaters PreSmolt (i.e. late migrant)</t>
  </si>
  <si>
    <t>Upper Grande Ronde Survival to LGD by Tagging Group</t>
  </si>
  <si>
    <t>Total Migrants</t>
  </si>
  <si>
    <t>Cathrine Creek Migrant Strategy</t>
  </si>
  <si>
    <t>Prob. Fall Migrant</t>
  </si>
  <si>
    <t>Prob. Spring Migrant</t>
  </si>
  <si>
    <t>Fall Migrants (Valley)</t>
  </si>
  <si>
    <t>Spring Migrants (Headwaters)</t>
  </si>
  <si>
    <t>Upper Grande Ronde Migrant Strategy</t>
  </si>
  <si>
    <t>UGR without 2014</t>
  </si>
  <si>
    <t>0 for no hatchery supplementation</t>
  </si>
  <si>
    <t>Catherine Creek</t>
  </si>
  <si>
    <t>Natural</t>
  </si>
  <si>
    <t>Origin</t>
  </si>
  <si>
    <t>LGD Smolt</t>
  </si>
  <si>
    <t>Tributary Adults</t>
  </si>
  <si>
    <t>Age-3</t>
  </si>
  <si>
    <t>Age-4</t>
  </si>
  <si>
    <t>Age-5</t>
  </si>
  <si>
    <t>Target =&gt;</t>
  </si>
  <si>
    <t>Changed by Solver</t>
  </si>
  <si>
    <t>Consider adding age specific fecundity, really need to do this</t>
  </si>
  <si>
    <t>Pop_Trans</t>
  </si>
  <si>
    <t>Hatchery SAR</t>
  </si>
  <si>
    <t>Hatchery:Wild Ratio</t>
  </si>
  <si>
    <t>Hatchery_Scaler</t>
  </si>
  <si>
    <t>Release Year</t>
  </si>
  <si>
    <t>Life Stage Released</t>
  </si>
  <si>
    <t>Number Released</t>
  </si>
  <si>
    <t>Release Goal</t>
  </si>
  <si>
    <t>Total Release</t>
  </si>
  <si>
    <t>Productivity Estimate</t>
  </si>
  <si>
    <t>smolt</t>
  </si>
  <si>
    <t>Sd</t>
  </si>
  <si>
    <t>Catherine Creek Hatchery Smolt Releases</t>
  </si>
  <si>
    <t>Program</t>
  </si>
  <si>
    <t>Integrated</t>
  </si>
  <si>
    <t>Captive Broodstock</t>
  </si>
  <si>
    <t>Brood Retention Target</t>
  </si>
  <si>
    <t>Brood Productivity Estimate</t>
  </si>
  <si>
    <t>Upper Grande Ronde Hatchery Smolt Releases</t>
  </si>
  <si>
    <t>TotalBrood_HatchRelease</t>
  </si>
  <si>
    <t>TotalBrood</t>
  </si>
  <si>
    <t>Bev-Holt Parameters</t>
  </si>
  <si>
    <r>
      <rPr>
        <i/>
        <sz val="12"/>
        <color theme="1"/>
        <rFont val="Calibri"/>
        <family val="2"/>
        <scheme val="minor"/>
      </rPr>
      <t>a</t>
    </r>
    <r>
      <rPr>
        <sz val="12"/>
        <color theme="1"/>
        <rFont val="Calibri"/>
        <family val="2"/>
        <scheme val="minor"/>
      </rPr>
      <t xml:space="preserve"> (capacity)</t>
    </r>
  </si>
  <si>
    <t>From Haddon (2001) Modeling and Quantitative Methods in Fisheries</t>
  </si>
  <si>
    <t>Bev-Holt Formula</t>
  </si>
  <si>
    <t>Log transformed formula</t>
  </si>
  <si>
    <r>
      <t>Residual error (</t>
    </r>
    <r>
      <rPr>
        <sz val="11"/>
        <color rgb="FFFF0000"/>
        <rFont val="Calibri"/>
        <family val="2"/>
      </rPr>
      <t>ε) is assumed to be lognormally distributed. The data is log transformed prior to fitting the model to allow for least squares estimation.</t>
    </r>
  </si>
  <si>
    <r>
      <rPr>
        <i/>
        <sz val="12"/>
        <color theme="1"/>
        <rFont val="Calibri"/>
        <family val="2"/>
        <scheme val="minor"/>
      </rPr>
      <t>a/b</t>
    </r>
    <r>
      <rPr>
        <sz val="12"/>
        <color theme="1"/>
        <rFont val="Calibri"/>
        <family val="2"/>
        <scheme val="minor"/>
      </rPr>
      <t xml:space="preserve"> (productivity)</t>
    </r>
  </si>
  <si>
    <t>σ²</t>
  </si>
  <si>
    <t>σ</t>
  </si>
  <si>
    <t>For plotting fit</t>
  </si>
  <si>
    <r>
      <t>Eggs (</t>
    </r>
    <r>
      <rPr>
        <i/>
        <sz val="12"/>
        <color theme="1"/>
        <rFont val="Calibri"/>
        <family val="2"/>
        <scheme val="minor"/>
      </rPr>
      <t>N</t>
    </r>
    <r>
      <rPr>
        <i/>
        <vertAlign val="subscript"/>
        <sz val="12"/>
        <color theme="1"/>
        <rFont val="Calibri"/>
        <family val="2"/>
        <scheme val="minor"/>
      </rPr>
      <t>i</t>
    </r>
    <r>
      <rPr>
        <sz val="12"/>
        <color theme="1"/>
        <rFont val="Calibri"/>
        <family val="2"/>
        <scheme val="minor"/>
      </rPr>
      <t>)</t>
    </r>
  </si>
  <si>
    <r>
      <t>Summer parr (</t>
    </r>
    <r>
      <rPr>
        <i/>
        <sz val="12"/>
        <color theme="1"/>
        <rFont val="Calibri"/>
        <family val="2"/>
        <scheme val="minor"/>
      </rPr>
      <t>N</t>
    </r>
    <r>
      <rPr>
        <i/>
        <vertAlign val="subscript"/>
        <sz val="12"/>
        <color theme="1"/>
        <rFont val="Calibri"/>
        <family val="2"/>
        <scheme val="minor"/>
      </rPr>
      <t>i+1</t>
    </r>
    <r>
      <rPr>
        <sz val="12"/>
        <color theme="1"/>
        <rFont val="Calibri"/>
        <family val="2"/>
        <scheme val="minor"/>
      </rPr>
      <t>)</t>
    </r>
  </si>
  <si>
    <r>
      <t xml:space="preserve">Expected Value </t>
    </r>
    <r>
      <rPr>
        <i/>
        <sz val="12"/>
        <color theme="1"/>
        <rFont val="Calibri"/>
        <family val="2"/>
        <scheme val="minor"/>
      </rPr>
      <t>Ln(N</t>
    </r>
    <r>
      <rPr>
        <i/>
        <vertAlign val="subscript"/>
        <sz val="12"/>
        <color theme="1"/>
        <rFont val="Calibri"/>
        <family val="2"/>
        <scheme val="minor"/>
      </rPr>
      <t>i+1</t>
    </r>
    <r>
      <rPr>
        <i/>
        <sz val="12"/>
        <color theme="1"/>
        <rFont val="Calibri"/>
        <family val="2"/>
        <scheme val="minor"/>
      </rPr>
      <t>/N</t>
    </r>
    <r>
      <rPr>
        <i/>
        <vertAlign val="subscript"/>
        <sz val="12"/>
        <color theme="1"/>
        <rFont val="Calibri"/>
        <family val="2"/>
        <scheme val="minor"/>
      </rPr>
      <t>i</t>
    </r>
    <r>
      <rPr>
        <i/>
        <sz val="12"/>
        <color theme="1"/>
        <rFont val="Calibri"/>
        <family val="2"/>
        <scheme val="minor"/>
      </rPr>
      <t>)</t>
    </r>
  </si>
  <si>
    <t>Squared residuals</t>
  </si>
  <si>
    <t>Capacity (a)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</si>
</sst>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_(* \(#,##0.00\);_(* &quot;-&quot;??_);_(@_)"/>
    <numFmt numFmtId="164" formatCode="0.000"/>
    <numFmt numFmtId="165" formatCode="_(* #,##0_);_(* \(#,##0\);_(* &quot;-&quot;??_);_(@_)"/>
    <numFmt numFmtId="166" formatCode="#,##0.000"/>
    <numFmt numFmtId="167" formatCode="0.0"/>
    <numFmt numFmtId="168" formatCode="#,##0.0000"/>
    <numFmt numFmtId="169" formatCode="0.0000"/>
  </numFmts>
  <fonts count="64">
    <font>
      <sz val="12"/>
      <color theme="1"/>
      <name val="Calibri"/>
      <family val="2"/>
      <scheme val="minor"/>
    </font>
    <font>
      <sz val="20"/>
      <color theme="1"/>
      <name val="Calibri"/>
      <family val="2"/>
      <scheme val="minor"/>
    </font>
    <font>
      <sz val="12"/>
      <color rgb="FF006100"/>
      <name val="Calibri"/>
      <family val="2"/>
      <scheme val="minor"/>
    </font>
    <font>
      <sz val="12"/>
      <color rgb="FF9C5700"/>
      <name val="Calibri"/>
      <family val="2"/>
      <scheme val="minor"/>
    </font>
    <font>
      <sz val="10"/>
      <color rgb="FF000000"/>
      <name val="Tahoma"/>
      <family val="2"/>
    </font>
    <font>
      <b/>
      <sz val="10"/>
      <color rgb="FF000000"/>
      <name val="Tahoma"/>
      <family val="2"/>
    </font>
    <font>
      <sz val="12"/>
      <color rgb="FF9C0006"/>
      <name val="Calibri"/>
      <family val="2"/>
      <scheme val="minor"/>
    </font>
    <font>
      <b/>
      <sz val="12"/>
      <color theme="1"/>
      <name val="Calibri"/>
      <family val="2"/>
      <scheme val="minor"/>
    </font>
    <font>
      <sz val="12"/>
      <color theme="1"/>
      <name val="Calibri"/>
      <family val="2"/>
      <scheme val="minor"/>
    </font>
    <font>
      <sz val="12"/>
      <color rgb="FF3F3F76"/>
      <name val="Calibri"/>
      <family val="2"/>
      <scheme val="minor"/>
    </font>
    <font>
      <b/>
      <sz val="12"/>
      <color rgb="FFFA7D00"/>
      <name val="Calibri"/>
      <family val="2"/>
      <scheme val="minor"/>
    </font>
    <font>
      <sz val="12"/>
      <color rgb="FFFF0000"/>
      <name val="Calibri"/>
      <family val="2"/>
      <scheme val="minor"/>
    </font>
    <font>
      <sz val="12"/>
      <color theme="0"/>
      <name val="Calibri"/>
      <family val="2"/>
      <scheme val="minor"/>
    </font>
    <font>
      <b/>
      <sz val="16"/>
      <color theme="1"/>
      <name val="Calibri"/>
      <family val="2"/>
      <scheme val="minor"/>
    </font>
    <font>
      <b/>
      <sz val="9"/>
      <color rgb="FF000000"/>
      <name val="Tahoma"/>
      <family val="2"/>
    </font>
    <font>
      <sz val="9"/>
      <color rgb="FF000000"/>
      <name val="Tahoma"/>
      <family val="2"/>
    </font>
    <font>
      <b/>
      <sz val="10"/>
      <color rgb="FF000000"/>
      <name val="Calibri"/>
      <family val="2"/>
    </font>
    <font>
      <sz val="10"/>
      <color rgb="FF000000"/>
      <name val="Calibri"/>
      <family val="2"/>
    </font>
    <font>
      <b/>
      <sz val="9"/>
      <color indexed="81"/>
      <name val="Tahoma"/>
      <family val="2"/>
    </font>
    <font>
      <sz val="9"/>
      <color indexed="81"/>
      <name val="Tahoma"/>
      <family val="2"/>
    </font>
    <font>
      <sz val="12"/>
      <name val="Calibri"/>
      <family val="2"/>
      <scheme val="minor"/>
    </font>
    <font>
      <b/>
      <sz val="12"/>
      <name val="Calibri"/>
      <family val="2"/>
      <scheme val="minor"/>
    </font>
    <font>
      <vertAlign val="superscript"/>
      <sz val="12"/>
      <name val="Calibri"/>
      <family val="2"/>
      <scheme val="minor"/>
    </font>
    <font>
      <sz val="12"/>
      <color rgb="FF000000"/>
      <name val="Calibri"/>
      <family val="2"/>
      <scheme val="minor"/>
    </font>
    <font>
      <b/>
      <sz val="16"/>
      <color rgb="FFFF0000"/>
      <name val="Calibri"/>
      <family val="2"/>
      <scheme val="minor"/>
    </font>
    <font>
      <sz val="20"/>
      <color rgb="FFFF0000"/>
      <name val="Calibri"/>
      <family val="2"/>
      <scheme val="minor"/>
    </font>
    <font>
      <b/>
      <sz val="11"/>
      <color theme="1"/>
      <name val="Calibri"/>
      <family val="2"/>
      <scheme val="minor"/>
    </font>
    <font>
      <u/>
      <sz val="12"/>
      <color theme="10"/>
      <name val="Calibri"/>
      <family val="2"/>
      <scheme val="minor"/>
    </font>
    <font>
      <b/>
      <sz val="16"/>
      <name val="Calibri"/>
      <family val="2"/>
      <scheme val="minor"/>
    </font>
    <font>
      <sz val="11"/>
      <name val="Calibri"/>
      <family val="2"/>
      <scheme val="minor"/>
    </font>
    <font>
      <b/>
      <sz val="8"/>
      <color rgb="FF000000"/>
      <name val="Tahoma"/>
      <family val="2"/>
    </font>
    <font>
      <sz val="8"/>
      <color rgb="FF000000"/>
      <name val="Tahoma"/>
      <family val="2"/>
    </font>
    <font>
      <b/>
      <sz val="8"/>
      <color indexed="81"/>
      <name val="Tahoma"/>
      <family val="2"/>
    </font>
    <font>
      <sz val="8"/>
      <color indexed="81"/>
      <name val="Tahoma"/>
      <family val="2"/>
    </font>
    <font>
      <sz val="18"/>
      <color theme="3"/>
      <name val="Calibri Light"/>
      <family val="2"/>
      <scheme val="major"/>
    </font>
    <font>
      <b/>
      <sz val="15"/>
      <color theme="3"/>
      <name val="Calibri"/>
      <family val="2"/>
      <scheme val="minor"/>
    </font>
    <font>
      <b/>
      <sz val="13"/>
      <color theme="3"/>
      <name val="Calibri"/>
      <family val="2"/>
      <scheme val="minor"/>
    </font>
    <font>
      <i/>
      <sz val="12"/>
      <color rgb="FF7F7F7F"/>
      <name val="Calibri"/>
      <family val="2"/>
      <scheme val="minor"/>
    </font>
    <font>
      <b/>
      <sz val="14"/>
      <name val="Calibri"/>
      <family val="2"/>
      <scheme val="minor"/>
    </font>
    <font>
      <b/>
      <sz val="11"/>
      <name val="Calibri"/>
      <family val="2"/>
      <scheme val="minor"/>
    </font>
    <font>
      <sz val="18"/>
      <color theme="1"/>
      <name val="Calibri"/>
      <family val="2"/>
      <scheme val="minor"/>
    </font>
    <font>
      <b/>
      <sz val="18"/>
      <color theme="0"/>
      <name val="Calibri"/>
      <family val="2"/>
      <scheme val="minor"/>
    </font>
    <font>
      <b/>
      <sz val="18"/>
      <color theme="1"/>
      <name val="Calibri"/>
      <family val="2"/>
      <scheme val="minor"/>
    </font>
    <font>
      <sz val="11"/>
      <color rgb="FF006100"/>
      <name val="Calibri"/>
      <family val="2"/>
      <scheme val="minor"/>
    </font>
    <font>
      <b/>
      <sz val="18"/>
      <name val="Calibri"/>
      <family val="2"/>
      <scheme val="minor"/>
    </font>
    <font>
      <sz val="11"/>
      <color rgb="FF9C6500"/>
      <name val="Calibri"/>
      <family val="2"/>
      <scheme val="minor"/>
    </font>
    <font>
      <b/>
      <sz val="11"/>
      <color rgb="FF9C0006"/>
      <name val="Calibri"/>
      <family val="2"/>
      <scheme val="minor"/>
    </font>
    <font>
      <b/>
      <sz val="11"/>
      <color rgb="FF9C6500"/>
      <name val="Calibri"/>
      <family val="2"/>
      <scheme val="minor"/>
    </font>
    <font>
      <sz val="11"/>
      <color rgb="FFFF0000"/>
      <name val="Calibri"/>
      <family val="2"/>
      <scheme val="minor"/>
    </font>
    <font>
      <b/>
      <sz val="12"/>
      <color rgb="FFFF0000"/>
      <name val="Calibri"/>
      <family val="2"/>
      <scheme val="minor"/>
    </font>
    <font>
      <sz val="11"/>
      <color theme="1"/>
      <name val="Calibri"/>
      <family val="2"/>
      <scheme val="minor"/>
    </font>
    <font>
      <b/>
      <sz val="12"/>
      <color theme="9" tint="-0.249977111117893"/>
      <name val="Calibri"/>
      <family val="2"/>
      <scheme val="minor"/>
    </font>
    <font>
      <b/>
      <i/>
      <sz val="12"/>
      <color theme="1"/>
      <name val="Calibri"/>
      <family val="2"/>
      <scheme val="minor"/>
    </font>
    <font>
      <sz val="11"/>
      <color rgb="FF000000"/>
      <name val="Calibri"/>
      <family val="2"/>
    </font>
    <font>
      <b/>
      <sz val="11"/>
      <color rgb="FF000000"/>
      <name val="Calibri"/>
      <family val="2"/>
    </font>
    <font>
      <b/>
      <i/>
      <sz val="12"/>
      <color rgb="FFFF0000"/>
      <name val="Calibri"/>
      <family val="2"/>
      <scheme val="minor"/>
    </font>
    <font>
      <b/>
      <sz val="12"/>
      <color rgb="FF3F3F76"/>
      <name val="Calibri"/>
      <family val="2"/>
      <scheme val="minor"/>
    </font>
    <font>
      <b/>
      <sz val="12"/>
      <color rgb="FF9C0006"/>
      <name val="Calibri"/>
      <family val="2"/>
      <scheme val="minor"/>
    </font>
    <font>
      <i/>
      <sz val="12"/>
      <color theme="1"/>
      <name val="Calibri"/>
      <family val="2"/>
      <scheme val="minor"/>
    </font>
    <font>
      <sz val="10"/>
      <color rgb="FFFF0000"/>
      <name val="Calibri"/>
      <family val="2"/>
      <scheme val="minor"/>
    </font>
    <font>
      <sz val="11"/>
      <color rgb="FFFF0000"/>
      <name val="Calibri"/>
      <family val="2"/>
    </font>
    <font>
      <sz val="12"/>
      <color theme="1"/>
      <name val="Calibri"/>
      <family val="2"/>
    </font>
    <font>
      <i/>
      <vertAlign val="subscript"/>
      <sz val="12"/>
      <color theme="1"/>
      <name val="Calibri"/>
      <family val="2"/>
      <scheme val="minor"/>
    </font>
    <font>
      <sz val="12"/>
      <color rgb="FF000000"/>
      <name val="Calibri"/>
      <family val="2"/>
    </font>
  </fonts>
  <fills count="27">
    <fill>
      <patternFill patternType="none"/>
    </fill>
    <fill>
      <patternFill patternType="gray125"/>
    </fill>
    <fill>
      <patternFill patternType="solid">
        <fgColor rgb="FFC6EFCE"/>
      </patternFill>
    </fill>
    <fill>
      <patternFill patternType="solid">
        <fgColor rgb="FFFFEB9C"/>
      </patternFill>
    </fill>
    <fill>
      <patternFill patternType="solid">
        <fgColor rgb="FFFFC7CE"/>
      </patternFill>
    </fill>
    <fill>
      <patternFill patternType="solid">
        <fgColor rgb="FFFFCC99"/>
      </patternFill>
    </fill>
    <fill>
      <patternFill patternType="solid">
        <fgColor rgb="FFF2F2F2"/>
      </patternFill>
    </fill>
    <fill>
      <patternFill patternType="solid">
        <fgColor rgb="FFFFFFCC"/>
      </patternFill>
    </fill>
    <fill>
      <patternFill patternType="solid">
        <fgColor theme="4"/>
      </patternFill>
    </fill>
    <fill>
      <patternFill patternType="solid">
        <fgColor theme="4" tint="0.39997558519241921"/>
        <bgColor indexed="65"/>
      </patternFill>
    </fill>
    <fill>
      <patternFill patternType="solid">
        <fgColor theme="6"/>
      </patternFill>
    </fill>
    <fill>
      <patternFill patternType="solid">
        <fgColor theme="8" tint="0.39997558519241921"/>
        <bgColor indexed="65"/>
      </patternFill>
    </fill>
    <fill>
      <patternFill patternType="solid">
        <fgColor theme="3"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4" tint="0.59999389629810485"/>
        <bgColor indexed="65"/>
      </patternFill>
    </fill>
    <fill>
      <patternFill patternType="solid">
        <fgColor theme="8"/>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9" tint="0.79998168889431442"/>
        <bgColor indexed="65"/>
      </patternFill>
    </fill>
    <fill>
      <patternFill patternType="solid">
        <fgColor theme="8" tint="0.79998168889431442"/>
        <bgColor indexed="65"/>
      </patternFill>
    </fill>
  </fills>
  <borders count="7">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thick">
        <color theme="4"/>
      </bottom>
      <diagonal/>
    </border>
    <border>
      <left/>
      <right/>
      <top/>
      <bottom style="thick">
        <color theme="4" tint="0.499984740745262"/>
      </bottom>
      <diagonal/>
    </border>
    <border>
      <left style="thin">
        <color rgb="FFD0D7E5"/>
      </left>
      <right style="thin">
        <color rgb="FFD0D7E5"/>
      </right>
      <top style="thin">
        <color rgb="FFD0D7E5"/>
      </top>
      <bottom style="thin">
        <color rgb="FFD0D7E5"/>
      </bottom>
      <diagonal/>
    </border>
    <border>
      <left style="thin">
        <color rgb="FFD0D7E5"/>
      </left>
      <right style="thin">
        <color rgb="FFD0D7E5"/>
      </right>
      <top/>
      <bottom/>
      <diagonal/>
    </border>
  </borders>
  <cellStyleXfs count="26">
    <xf numFmtId="0" fontId="0" fillId="0" borderId="0"/>
    <xf numFmtId="0" fontId="2" fillId="2" borderId="0" applyNumberFormat="0" applyBorder="0" applyAlignment="0" applyProtection="0"/>
    <xf numFmtId="0" fontId="3" fillId="3" borderId="0" applyNumberFormat="0" applyBorder="0" applyAlignment="0" applyProtection="0"/>
    <xf numFmtId="0" fontId="6" fillId="4" borderId="0" applyNumberFormat="0" applyBorder="0" applyAlignment="0" applyProtection="0"/>
    <xf numFmtId="9" fontId="8" fillId="0" borderId="0" applyFont="0" applyFill="0" applyBorder="0" applyAlignment="0" applyProtection="0"/>
    <xf numFmtId="0" fontId="9" fillId="5" borderId="1" applyNumberFormat="0" applyAlignment="0" applyProtection="0"/>
    <xf numFmtId="0" fontId="10" fillId="6" borderId="1" applyNumberFormat="0" applyAlignment="0" applyProtection="0"/>
    <xf numFmtId="0" fontId="8" fillId="7" borderId="2" applyNumberFormat="0" applyFont="0" applyAlignment="0" applyProtection="0"/>
    <xf numFmtId="0" fontId="12" fillId="8" borderId="0" applyNumberFormat="0" applyBorder="0" applyAlignment="0" applyProtection="0"/>
    <xf numFmtId="0" fontId="8" fillId="9" borderId="0" applyNumberFormat="0" applyBorder="0" applyAlignment="0" applyProtection="0"/>
    <xf numFmtId="0" fontId="12" fillId="10" borderId="0" applyNumberFormat="0" applyBorder="0" applyAlignment="0" applyProtection="0"/>
    <xf numFmtId="0" fontId="8" fillId="11" borderId="0" applyNumberFormat="0" applyBorder="0" applyAlignment="0" applyProtection="0"/>
    <xf numFmtId="0" fontId="27" fillId="0" borderId="0" applyNumberFormat="0" applyFill="0" applyBorder="0" applyAlignment="0" applyProtection="0"/>
    <xf numFmtId="0" fontId="34" fillId="0" borderId="0" applyNumberFormat="0" applyFill="0" applyBorder="0" applyAlignment="0" applyProtection="0"/>
    <xf numFmtId="0" fontId="35" fillId="0" borderId="3" applyNumberFormat="0" applyFill="0" applyAlignment="0" applyProtection="0"/>
    <xf numFmtId="0" fontId="36" fillId="0" borderId="4" applyNumberFormat="0" applyFill="0" applyAlignment="0" applyProtection="0"/>
    <xf numFmtId="0" fontId="37" fillId="0" borderId="0" applyNumberFormat="0" applyFill="0" applyBorder="0" applyAlignment="0" applyProtection="0"/>
    <xf numFmtId="0" fontId="8" fillId="19" borderId="0" applyNumberFormat="0" applyBorder="0" applyAlignment="0" applyProtection="0"/>
    <xf numFmtId="0" fontId="12" fillId="20" borderId="0" applyNumberFormat="0" applyBorder="0" applyAlignment="0" applyProtection="0"/>
    <xf numFmtId="43" fontId="8" fillId="0" borderId="0" applyFont="0" applyFill="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3" borderId="0" applyNumberFormat="0" applyBorder="0" applyAlignment="0" applyProtection="0"/>
    <xf numFmtId="0" fontId="8" fillId="24"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cellStyleXfs>
  <cellXfs count="290">
    <xf numFmtId="0" fontId="0" fillId="0" borderId="0" xfId="0"/>
    <xf numFmtId="0" fontId="0" fillId="0" borderId="0" xfId="0" applyAlignment="1">
      <alignment vertical="center"/>
    </xf>
    <xf numFmtId="0" fontId="7" fillId="0" borderId="0" xfId="0" applyFont="1" applyAlignment="1">
      <alignment horizontal="center" vertical="center"/>
    </xf>
    <xf numFmtId="0" fontId="0" fillId="0" borderId="0" xfId="0" applyAlignment="1">
      <alignment horizontal="left"/>
    </xf>
    <xf numFmtId="0" fontId="1" fillId="0" borderId="0" xfId="0" applyFont="1" applyFill="1" applyBorder="1" applyAlignment="1">
      <alignment vertical="center"/>
    </xf>
    <xf numFmtId="0" fontId="7" fillId="0" borderId="0" xfId="0" applyFont="1" applyFill="1" applyBorder="1"/>
    <xf numFmtId="0" fontId="0" fillId="0" borderId="0" xfId="0" applyFont="1" applyFill="1" applyBorder="1"/>
    <xf numFmtId="0" fontId="23" fillId="0" borderId="0" xfId="0" applyFont="1" applyFill="1" applyBorder="1" applyAlignment="1">
      <alignment horizontal="left" vertical="center" readingOrder="1"/>
    </xf>
    <xf numFmtId="0" fontId="20" fillId="0" borderId="0" xfId="0" applyFont="1" applyFill="1" applyBorder="1" applyAlignment="1">
      <alignment vertical="top"/>
    </xf>
    <xf numFmtId="0" fontId="20" fillId="0" borderId="0" xfId="0" applyFont="1" applyFill="1" applyBorder="1" applyAlignment="1">
      <alignment vertical="top" wrapText="1"/>
    </xf>
    <xf numFmtId="0" fontId="20" fillId="0" borderId="0" xfId="0" applyFont="1" applyFill="1" applyBorder="1" applyAlignment="1">
      <alignment horizontal="left" vertical="top"/>
    </xf>
    <xf numFmtId="10" fontId="0" fillId="0" borderId="0" xfId="4" applyNumberFormat="1" applyFont="1" applyFill="1" applyBorder="1"/>
    <xf numFmtId="10" fontId="7" fillId="0" borderId="0" xfId="0" applyNumberFormat="1" applyFont="1" applyFill="1" applyBorder="1"/>
    <xf numFmtId="0" fontId="22" fillId="0" borderId="0" xfId="0" applyFont="1" applyFill="1" applyBorder="1" applyAlignment="1">
      <alignment vertical="center"/>
    </xf>
    <xf numFmtId="2" fontId="0" fillId="0" borderId="0" xfId="0" applyNumberFormat="1" applyFont="1" applyFill="1" applyBorder="1" applyAlignment="1">
      <alignment horizontal="center"/>
    </xf>
    <xf numFmtId="10" fontId="0" fillId="0" borderId="0" xfId="0" applyNumberFormat="1" applyFont="1" applyFill="1" applyBorder="1"/>
    <xf numFmtId="0" fontId="7" fillId="0" borderId="0" xfId="0" applyFont="1" applyFill="1" applyBorder="1" applyAlignment="1">
      <alignment horizontal="center" vertical="center"/>
    </xf>
    <xf numFmtId="0" fontId="7" fillId="12" borderId="0" xfId="0" applyFont="1" applyFill="1" applyBorder="1" applyAlignment="1">
      <alignment horizontal="center" vertical="center"/>
    </xf>
    <xf numFmtId="0" fontId="21" fillId="12" borderId="0" xfId="0" applyFont="1" applyFill="1" applyBorder="1" applyAlignment="1">
      <alignment horizontal="center" vertical="center" wrapText="1"/>
    </xf>
    <xf numFmtId="0" fontId="0" fillId="12" borderId="0" xfId="0" applyFont="1" applyFill="1" applyBorder="1" applyAlignment="1">
      <alignment horizontal="center"/>
    </xf>
    <xf numFmtId="0" fontId="21" fillId="13" borderId="0" xfId="0" applyFont="1" applyFill="1" applyBorder="1" applyAlignment="1">
      <alignment horizontal="center" vertical="center" wrapText="1"/>
    </xf>
    <xf numFmtId="0" fontId="20" fillId="13" borderId="0" xfId="0" applyFont="1" applyFill="1" applyBorder="1" applyAlignment="1">
      <alignment horizontal="center" vertical="center" wrapText="1"/>
    </xf>
    <xf numFmtId="0" fontId="21" fillId="14" borderId="0" xfId="0" applyFont="1" applyFill="1" applyBorder="1" applyAlignment="1">
      <alignment horizontal="center" vertical="center" wrapText="1"/>
    </xf>
    <xf numFmtId="0" fontId="20" fillId="14" borderId="0" xfId="0" applyFont="1" applyFill="1" applyBorder="1" applyAlignment="1">
      <alignment vertical="center" wrapText="1"/>
    </xf>
    <xf numFmtId="0" fontId="20" fillId="14" borderId="0" xfId="0" applyFont="1" applyFill="1" applyBorder="1" applyAlignment="1">
      <alignment horizontal="center" vertical="center" wrapText="1"/>
    </xf>
    <xf numFmtId="1" fontId="3" fillId="14" borderId="0" xfId="2" applyNumberFormat="1" applyFont="1" applyFill="1" applyBorder="1" applyAlignment="1">
      <alignment horizontal="center" vertical="center" wrapText="1"/>
    </xf>
    <xf numFmtId="0" fontId="21" fillId="15" borderId="0" xfId="0" applyFont="1" applyFill="1" applyBorder="1" applyAlignment="1">
      <alignment horizontal="center" vertical="center" wrapText="1"/>
    </xf>
    <xf numFmtId="9" fontId="20" fillId="15" borderId="0" xfId="4" applyFont="1" applyFill="1" applyBorder="1" applyAlignment="1">
      <alignment horizontal="center" vertical="center" wrapText="1"/>
    </xf>
    <xf numFmtId="9" fontId="3" fillId="15" borderId="0" xfId="4" applyFont="1" applyFill="1" applyBorder="1" applyAlignment="1">
      <alignment horizontal="center" vertical="center" wrapText="1"/>
    </xf>
    <xf numFmtId="10" fontId="7" fillId="0" borderId="0" xfId="4" applyNumberFormat="1" applyFont="1" applyFill="1" applyBorder="1"/>
    <xf numFmtId="10" fontId="7" fillId="12" borderId="0" xfId="4" applyNumberFormat="1" applyFont="1" applyFill="1" applyBorder="1" applyAlignment="1">
      <alignment horizontal="center"/>
    </xf>
    <xf numFmtId="10" fontId="0" fillId="12" borderId="0" xfId="4" applyNumberFormat="1" applyFont="1" applyFill="1" applyBorder="1"/>
    <xf numFmtId="0" fontId="21" fillId="16" borderId="0" xfId="0" applyFont="1" applyFill="1" applyBorder="1" applyAlignment="1">
      <alignment horizontal="center" vertical="center" wrapText="1"/>
    </xf>
    <xf numFmtId="0" fontId="21" fillId="16" borderId="0" xfId="7" applyFont="1" applyFill="1" applyBorder="1" applyAlignment="1">
      <alignment horizontal="center" vertical="center" wrapText="1"/>
    </xf>
    <xf numFmtId="1" fontId="0" fillId="16" borderId="0" xfId="7" applyNumberFormat="1" applyFont="1" applyFill="1" applyBorder="1"/>
    <xf numFmtId="10" fontId="0" fillId="17" borderId="0" xfId="9" applyNumberFormat="1" applyFont="1" applyFill="1" applyBorder="1" applyAlignment="1">
      <alignment horizontal="center" vertical="center"/>
    </xf>
    <xf numFmtId="0" fontId="0" fillId="17" borderId="0" xfId="9" applyFont="1" applyFill="1" applyBorder="1" applyAlignment="1">
      <alignment horizontal="center" vertical="center" wrapText="1"/>
    </xf>
    <xf numFmtId="2" fontId="0" fillId="17" borderId="0" xfId="9" applyNumberFormat="1" applyFont="1" applyFill="1" applyBorder="1"/>
    <xf numFmtId="0" fontId="0" fillId="14" borderId="0" xfId="9" applyFont="1" applyFill="1" applyBorder="1" applyAlignment="1">
      <alignment horizontal="center" vertical="center"/>
    </xf>
    <xf numFmtId="0" fontId="0" fillId="14" borderId="0" xfId="0" applyFont="1" applyFill="1" applyBorder="1" applyAlignment="1">
      <alignment horizontal="center" vertical="center"/>
    </xf>
    <xf numFmtId="2" fontId="0" fillId="14" borderId="0" xfId="9" applyNumberFormat="1" applyFont="1" applyFill="1" applyBorder="1"/>
    <xf numFmtId="0" fontId="0" fillId="14" borderId="0" xfId="0" applyFont="1" applyFill="1" applyBorder="1"/>
    <xf numFmtId="0" fontId="9" fillId="12" borderId="0" xfId="5" applyFont="1" applyFill="1" applyBorder="1" applyAlignment="1">
      <alignment horizontal="center" vertical="center" wrapText="1"/>
    </xf>
    <xf numFmtId="1" fontId="9" fillId="12" borderId="0" xfId="5" applyNumberFormat="1" applyFont="1" applyFill="1" applyBorder="1"/>
    <xf numFmtId="0" fontId="6" fillId="17" borderId="0" xfId="3" applyFont="1" applyFill="1" applyBorder="1" applyAlignment="1">
      <alignment horizontal="center" vertical="center" wrapText="1"/>
    </xf>
    <xf numFmtId="1" fontId="6" fillId="17" borderId="0" xfId="3" applyNumberFormat="1" applyFont="1" applyFill="1" applyBorder="1"/>
    <xf numFmtId="1" fontId="24" fillId="0" borderId="0" xfId="0" applyNumberFormat="1" applyFont="1" applyFill="1" applyBorder="1"/>
    <xf numFmtId="0" fontId="7" fillId="0" borderId="0" xfId="0" applyFont="1" applyFill="1" applyBorder="1" applyAlignment="1">
      <alignment horizontal="right"/>
    </xf>
    <xf numFmtId="0" fontId="7" fillId="0" borderId="0" xfId="0" applyFont="1" applyAlignment="1">
      <alignment horizontal="left" vertical="center"/>
    </xf>
    <xf numFmtId="9" fontId="0" fillId="0" borderId="0" xfId="4" applyFont="1" applyFill="1" applyBorder="1"/>
    <xf numFmtId="9" fontId="7" fillId="0" borderId="0" xfId="4" applyFont="1" applyFill="1" applyBorder="1"/>
    <xf numFmtId="0" fontId="25" fillId="0" borderId="0" xfId="0" applyFont="1" applyFill="1" applyBorder="1" applyAlignment="1">
      <alignment vertical="center"/>
    </xf>
    <xf numFmtId="0" fontId="1" fillId="0" borderId="0" xfId="0" applyFont="1" applyFill="1" applyBorder="1" applyAlignment="1">
      <alignment horizontal="left" vertical="center"/>
    </xf>
    <xf numFmtId="0" fontId="0" fillId="0" borderId="0" xfId="0" applyAlignment="1">
      <alignment horizontal="left" vertical="center"/>
    </xf>
    <xf numFmtId="0" fontId="0" fillId="0" borderId="0" xfId="0" applyFont="1" applyFill="1" applyBorder="1" applyAlignment="1">
      <alignment horizontal="left"/>
    </xf>
    <xf numFmtId="0" fontId="7" fillId="0" borderId="0" xfId="0" applyFont="1" applyFill="1" applyBorder="1" applyAlignment="1">
      <alignment horizontal="left"/>
    </xf>
    <xf numFmtId="0" fontId="27" fillId="0" borderId="0" xfId="12" applyFill="1" applyBorder="1" applyAlignment="1">
      <alignment horizontal="left" vertical="center" readingOrder="1"/>
    </xf>
    <xf numFmtId="0" fontId="27" fillId="0" borderId="0" xfId="12"/>
    <xf numFmtId="1" fontId="0" fillId="0" borderId="0" xfId="4" applyNumberFormat="1" applyFont="1" applyFill="1" applyBorder="1"/>
    <xf numFmtId="0" fontId="7" fillId="18" borderId="0" xfId="0" applyFont="1" applyFill="1" applyAlignment="1">
      <alignment horizontal="center"/>
    </xf>
    <xf numFmtId="0" fontId="0" fillId="18" borderId="0" xfId="0" applyFill="1" applyAlignment="1">
      <alignment horizontal="left"/>
    </xf>
    <xf numFmtId="0" fontId="7" fillId="0" borderId="0" xfId="0" applyFont="1" applyAlignment="1">
      <alignment horizontal="right"/>
    </xf>
    <xf numFmtId="1" fontId="7" fillId="0" borderId="0" xfId="0" applyNumberFormat="1" applyFont="1" applyAlignment="1">
      <alignment horizontal="center"/>
    </xf>
    <xf numFmtId="1" fontId="0" fillId="0" borderId="0" xfId="0" applyNumberFormat="1" applyFont="1" applyFill="1" applyBorder="1"/>
    <xf numFmtId="0" fontId="11" fillId="0" borderId="0" xfId="0" applyFont="1" applyAlignment="1">
      <alignment horizontal="left"/>
    </xf>
    <xf numFmtId="0" fontId="7" fillId="16" borderId="0" xfId="0" applyFont="1" applyFill="1" applyAlignment="1">
      <alignment horizontal="center"/>
    </xf>
    <xf numFmtId="0" fontId="0" fillId="16" borderId="0" xfId="0" applyFill="1" applyAlignment="1">
      <alignment horizontal="center"/>
    </xf>
    <xf numFmtId="0" fontId="28" fillId="0" borderId="0" xfId="0" applyFont="1" applyAlignment="1">
      <alignment vertical="center"/>
    </xf>
    <xf numFmtId="0" fontId="29" fillId="0" borderId="0" xfId="0" applyFont="1" applyAlignment="1">
      <alignment vertical="center"/>
    </xf>
    <xf numFmtId="0" fontId="29" fillId="0" borderId="0" xfId="0" applyFont="1"/>
    <xf numFmtId="0" fontId="20" fillId="5" borderId="1" xfId="5" applyFont="1" applyAlignment="1">
      <alignment horizontal="center" vertical="center"/>
    </xf>
    <xf numFmtId="1" fontId="12" fillId="10" borderId="0" xfId="10" applyNumberFormat="1" applyAlignment="1">
      <alignment horizontal="center"/>
    </xf>
    <xf numFmtId="0" fontId="12" fillId="10" borderId="0" xfId="10" applyAlignment="1">
      <alignment horizontal="center"/>
    </xf>
    <xf numFmtId="9" fontId="20" fillId="5" borderId="1" xfId="5" applyNumberFormat="1" applyFont="1" applyAlignment="1">
      <alignment horizontal="center"/>
    </xf>
    <xf numFmtId="0" fontId="21" fillId="6" borderId="1" xfId="6" applyFont="1" applyAlignment="1">
      <alignment horizontal="center"/>
    </xf>
    <xf numFmtId="9" fontId="21" fillId="6" borderId="1" xfId="6" applyNumberFormat="1" applyFont="1" applyAlignment="1">
      <alignment horizontal="center"/>
    </xf>
    <xf numFmtId="9" fontId="29" fillId="0" borderId="0" xfId="0" applyNumberFormat="1" applyFont="1"/>
    <xf numFmtId="3" fontId="12" fillId="10" borderId="0" xfId="10" applyNumberFormat="1" applyAlignment="1">
      <alignment horizontal="center"/>
    </xf>
    <xf numFmtId="1" fontId="12" fillId="8" borderId="0" xfId="8" applyNumberFormat="1" applyAlignment="1">
      <alignment horizontal="center"/>
    </xf>
    <xf numFmtId="3" fontId="12" fillId="8" borderId="0" xfId="8" applyNumberFormat="1" applyAlignment="1">
      <alignment horizontal="center"/>
    </xf>
    <xf numFmtId="2" fontId="29" fillId="0" borderId="0" xfId="0" applyNumberFormat="1" applyFont="1" applyFill="1"/>
    <xf numFmtId="0" fontId="29" fillId="0" borderId="0" xfId="0" applyFont="1" applyFill="1"/>
    <xf numFmtId="9" fontId="12" fillId="10" borderId="0" xfId="10" applyNumberFormat="1" applyAlignment="1">
      <alignment horizontal="center"/>
    </xf>
    <xf numFmtId="0" fontId="12" fillId="8" borderId="0" xfId="8" applyAlignment="1">
      <alignment horizontal="center"/>
    </xf>
    <xf numFmtId="9" fontId="12" fillId="8" borderId="0" xfId="8" applyNumberFormat="1" applyAlignment="1">
      <alignment horizontal="center"/>
    </xf>
    <xf numFmtId="0" fontId="29" fillId="0" borderId="0" xfId="0" applyFont="1" applyAlignment="1">
      <alignment horizontal="center"/>
    </xf>
    <xf numFmtId="0" fontId="29" fillId="0" borderId="0" xfId="0" applyFont="1" applyFill="1" applyAlignment="1">
      <alignment horizontal="center"/>
    </xf>
    <xf numFmtId="0" fontId="24" fillId="0" borderId="0" xfId="0" applyFont="1" applyAlignment="1">
      <alignment vertical="center"/>
    </xf>
    <xf numFmtId="9" fontId="21" fillId="0" borderId="0" xfId="4" applyFont="1" applyFill="1" applyBorder="1" applyAlignment="1">
      <alignment horizontal="center" vertical="center" wrapText="1"/>
    </xf>
    <xf numFmtId="0" fontId="0" fillId="0" borderId="0" xfId="0" applyAlignment="1">
      <alignment horizontal="center"/>
    </xf>
    <xf numFmtId="0" fontId="21" fillId="0" borderId="0" xfId="0" applyFont="1" applyAlignment="1">
      <alignment vertical="center"/>
    </xf>
    <xf numFmtId="2" fontId="21" fillId="0" borderId="0" xfId="0" applyNumberFormat="1" applyFont="1" applyAlignment="1">
      <alignment vertical="center"/>
    </xf>
    <xf numFmtId="2" fontId="7" fillId="0" borderId="0" xfId="0" applyNumberFormat="1" applyFont="1" applyAlignment="1">
      <alignment horizontal="center" vertical="center"/>
    </xf>
    <xf numFmtId="0" fontId="40" fillId="11" borderId="0" xfId="11" applyFont="1" applyBorder="1" applyAlignment="1">
      <alignment horizontal="center" wrapText="1"/>
    </xf>
    <xf numFmtId="0" fontId="40" fillId="11" borderId="0" xfId="11" applyFont="1" applyBorder="1" applyAlignment="1">
      <alignment horizontal="center" vertical="center" wrapText="1"/>
    </xf>
    <xf numFmtId="0" fontId="12" fillId="10" borderId="0" xfId="10" applyBorder="1" applyAlignment="1">
      <alignment horizontal="center"/>
    </xf>
    <xf numFmtId="0" fontId="12" fillId="10" borderId="0" xfId="10" applyBorder="1" applyAlignment="1">
      <alignment horizontal="center" vertical="center"/>
    </xf>
    <xf numFmtId="0" fontId="12" fillId="20" borderId="0" xfId="18" applyBorder="1"/>
    <xf numFmtId="0" fontId="12" fillId="20" borderId="0" xfId="18" applyBorder="1" applyAlignment="1">
      <alignment horizontal="center"/>
    </xf>
    <xf numFmtId="9" fontId="12" fillId="20" borderId="0" xfId="18" applyNumberFormat="1" applyBorder="1" applyAlignment="1">
      <alignment horizontal="center"/>
    </xf>
    <xf numFmtId="0" fontId="12" fillId="8" borderId="0" xfId="8" applyBorder="1" applyAlignment="1">
      <alignment horizontal="center"/>
    </xf>
    <xf numFmtId="0" fontId="12" fillId="8" borderId="0" xfId="8" applyBorder="1" applyAlignment="1">
      <alignment horizontal="center" vertical="center"/>
    </xf>
    <xf numFmtId="0" fontId="11" fillId="0" borderId="0" xfId="0" applyFont="1" applyAlignment="1">
      <alignment vertical="center"/>
    </xf>
    <xf numFmtId="0" fontId="0" fillId="0" borderId="0" xfId="0" applyFont="1" applyAlignment="1">
      <alignment vertical="center"/>
    </xf>
    <xf numFmtId="0" fontId="0" fillId="0" borderId="0" xfId="0" applyFont="1"/>
    <xf numFmtId="0" fontId="7" fillId="0" borderId="0" xfId="0" applyFont="1"/>
    <xf numFmtId="0" fontId="20" fillId="0" borderId="0" xfId="0" applyFont="1" applyAlignment="1">
      <alignment vertical="center"/>
    </xf>
    <xf numFmtId="9" fontId="0" fillId="0" borderId="0" xfId="0" applyNumberFormat="1" applyFont="1" applyAlignment="1">
      <alignment vertical="center"/>
    </xf>
    <xf numFmtId="0" fontId="26" fillId="0" borderId="0" xfId="0" applyFont="1" applyAlignment="1">
      <alignment vertical="center"/>
    </xf>
    <xf numFmtId="0" fontId="42" fillId="0" borderId="0" xfId="0" applyFont="1" applyAlignment="1">
      <alignment vertical="center"/>
    </xf>
    <xf numFmtId="0" fontId="44" fillId="0" borderId="0" xfId="1" applyFont="1" applyFill="1" applyAlignment="1">
      <alignment vertical="center"/>
    </xf>
    <xf numFmtId="0" fontId="2" fillId="0" borderId="0" xfId="1" applyFill="1"/>
    <xf numFmtId="0" fontId="26" fillId="0" borderId="0" xfId="0" applyFont="1" applyAlignment="1">
      <alignment horizontal="center"/>
    </xf>
    <xf numFmtId="0" fontId="26" fillId="0" borderId="0" xfId="0" applyFont="1"/>
    <xf numFmtId="0" fontId="2" fillId="2" borderId="0" xfId="1" applyAlignment="1">
      <alignment horizontal="center"/>
    </xf>
    <xf numFmtId="1" fontId="39" fillId="2" borderId="0" xfId="1" applyNumberFormat="1" applyFont="1" applyAlignment="1">
      <alignment horizontal="center"/>
    </xf>
    <xf numFmtId="1" fontId="2" fillId="2" borderId="0" xfId="1" applyNumberFormat="1" applyAlignment="1">
      <alignment horizontal="center"/>
    </xf>
    <xf numFmtId="9" fontId="2" fillId="2" borderId="0" xfId="1" applyNumberFormat="1" applyAlignment="1">
      <alignment horizontal="center"/>
    </xf>
    <xf numFmtId="1" fontId="2" fillId="2" borderId="0" xfId="1" applyNumberFormat="1"/>
    <xf numFmtId="0" fontId="39" fillId="0" borderId="0" xfId="0" applyFont="1" applyBorder="1"/>
    <xf numFmtId="0" fontId="39" fillId="2" borderId="0" xfId="1" applyFont="1" applyBorder="1"/>
    <xf numFmtId="0" fontId="39" fillId="3" borderId="0" xfId="2" applyFont="1" applyBorder="1"/>
    <xf numFmtId="0" fontId="0" fillId="0" borderId="0" xfId="0" applyBorder="1" applyAlignment="1">
      <alignment horizontal="left"/>
    </xf>
    <xf numFmtId="9" fontId="43" fillId="2" borderId="0" xfId="4" applyFont="1" applyFill="1" applyBorder="1" applyAlignment="1">
      <alignment horizontal="center"/>
    </xf>
    <xf numFmtId="9" fontId="45" fillId="3" borderId="0" xfId="4" applyFont="1" applyFill="1" applyBorder="1" applyAlignment="1">
      <alignment horizontal="center"/>
    </xf>
    <xf numFmtId="0" fontId="3" fillId="3" borderId="0" xfId="2" applyAlignment="1">
      <alignment horizontal="center"/>
    </xf>
    <xf numFmtId="1" fontId="39" fillId="3" borderId="0" xfId="2" applyNumberFormat="1" applyFont="1" applyAlignment="1">
      <alignment horizontal="center"/>
    </xf>
    <xf numFmtId="1" fontId="3" fillId="3" borderId="0" xfId="2" applyNumberFormat="1" applyAlignment="1">
      <alignment horizontal="center"/>
    </xf>
    <xf numFmtId="9" fontId="3" fillId="3" borderId="0" xfId="2" applyNumberFormat="1" applyAlignment="1">
      <alignment horizontal="center"/>
    </xf>
    <xf numFmtId="1" fontId="3" fillId="3" borderId="0" xfId="2" applyNumberFormat="1"/>
    <xf numFmtId="9" fontId="0" fillId="0" borderId="0" xfId="0" applyNumberFormat="1"/>
    <xf numFmtId="0" fontId="26" fillId="0" borderId="0" xfId="0" applyFont="1" applyBorder="1" applyAlignment="1">
      <alignment horizontal="right"/>
    </xf>
    <xf numFmtId="9" fontId="9" fillId="5" borderId="1" xfId="5" applyNumberFormat="1" applyAlignment="1">
      <alignment horizontal="center"/>
    </xf>
    <xf numFmtId="9" fontId="39" fillId="2" borderId="0" xfId="1" applyNumberFormat="1" applyFont="1" applyBorder="1" applyAlignment="1">
      <alignment horizontal="center"/>
    </xf>
    <xf numFmtId="9" fontId="39" fillId="3" borderId="0" xfId="2" applyNumberFormat="1" applyFont="1" applyBorder="1" applyAlignment="1">
      <alignment horizontal="center"/>
    </xf>
    <xf numFmtId="9" fontId="46" fillId="4" borderId="0" xfId="3" applyNumberFormat="1" applyFont="1" applyBorder="1" applyAlignment="1">
      <alignment horizontal="center"/>
    </xf>
    <xf numFmtId="0" fontId="26" fillId="0" borderId="0" xfId="0" applyFont="1" applyFill="1" applyBorder="1"/>
    <xf numFmtId="0" fontId="0" fillId="0" borderId="0" xfId="0" applyFill="1" applyBorder="1"/>
    <xf numFmtId="0" fontId="13" fillId="0" borderId="0" xfId="0" applyFont="1" applyFill="1" applyBorder="1" applyAlignment="1">
      <alignment horizontal="left"/>
    </xf>
    <xf numFmtId="0" fontId="39" fillId="3" borderId="0" xfId="2" applyFont="1" applyBorder="1" applyAlignment="1">
      <alignment horizontal="center"/>
    </xf>
    <xf numFmtId="0" fontId="39" fillId="2" borderId="0" xfId="1" applyFont="1" applyBorder="1" applyAlignment="1">
      <alignment horizontal="center"/>
    </xf>
    <xf numFmtId="0" fontId="26" fillId="0" borderId="0" xfId="0" applyFont="1" applyFill="1" applyBorder="1" applyAlignment="1">
      <alignment horizontal="left"/>
    </xf>
    <xf numFmtId="0" fontId="0" fillId="0" borderId="0" xfId="0" applyFill="1"/>
    <xf numFmtId="0" fontId="3" fillId="3" borderId="0" xfId="2" applyBorder="1" applyAlignment="1">
      <alignment horizontal="center"/>
    </xf>
    <xf numFmtId="1" fontId="3" fillId="3" borderId="0" xfId="2" applyNumberFormat="1" applyBorder="1" applyAlignment="1">
      <alignment horizontal="center"/>
    </xf>
    <xf numFmtId="164" fontId="3" fillId="3" borderId="0" xfId="2" applyNumberFormat="1" applyBorder="1" applyAlignment="1">
      <alignment horizontal="center"/>
    </xf>
    <xf numFmtId="1" fontId="2" fillId="2" borderId="0" xfId="1" applyNumberFormat="1" applyBorder="1" applyAlignment="1">
      <alignment horizontal="center"/>
    </xf>
    <xf numFmtId="164" fontId="2" fillId="2" borderId="0" xfId="1" applyNumberFormat="1" applyBorder="1" applyAlignment="1">
      <alignment horizontal="center"/>
    </xf>
    <xf numFmtId="0" fontId="21" fillId="0" borderId="0" xfId="0" applyFont="1" applyFill="1" applyBorder="1"/>
    <xf numFmtId="0" fontId="21" fillId="0" borderId="0" xfId="3" applyFont="1" applyFill="1" applyBorder="1"/>
    <xf numFmtId="0" fontId="21" fillId="0" borderId="0" xfId="2" applyFont="1" applyFill="1" applyBorder="1"/>
    <xf numFmtId="0" fontId="7" fillId="19" borderId="0" xfId="17" applyFont="1" applyBorder="1" applyAlignment="1">
      <alignment horizontal="center"/>
    </xf>
    <xf numFmtId="1" fontId="8" fillId="19" borderId="0" xfId="17" applyNumberFormat="1" applyBorder="1" applyAlignment="1">
      <alignment horizontal="center"/>
    </xf>
    <xf numFmtId="0" fontId="21" fillId="0" borderId="0" xfId="0" applyFont="1" applyFill="1" applyBorder="1" applyAlignment="1">
      <alignment horizontal="center"/>
    </xf>
    <xf numFmtId="0" fontId="47" fillId="3" borderId="0" xfId="2" applyFont="1" applyBorder="1" applyAlignment="1">
      <alignment horizontal="center"/>
    </xf>
    <xf numFmtId="9" fontId="9" fillId="5" borderId="1" xfId="4" applyFont="1" applyFill="1" applyBorder="1" applyAlignment="1">
      <alignment horizontal="center"/>
    </xf>
    <xf numFmtId="0" fontId="0" fillId="0" borderId="0" xfId="0" applyBorder="1"/>
    <xf numFmtId="0" fontId="7" fillId="0" borderId="0" xfId="0" applyFont="1" applyBorder="1" applyAlignment="1">
      <alignment horizontal="right"/>
    </xf>
    <xf numFmtId="1" fontId="7" fillId="0" borderId="0" xfId="0" applyNumberFormat="1" applyFont="1" applyBorder="1" applyAlignment="1">
      <alignment horizontal="center"/>
    </xf>
    <xf numFmtId="0" fontId="7" fillId="0" borderId="0" xfId="0" applyFont="1" applyBorder="1" applyAlignment="1">
      <alignment horizontal="center"/>
    </xf>
    <xf numFmtId="0" fontId="2" fillId="0" borderId="0" xfId="1" applyFill="1" applyBorder="1"/>
    <xf numFmtId="0" fontId="3" fillId="0" borderId="0" xfId="2" applyFill="1"/>
    <xf numFmtId="0" fontId="7" fillId="0" borderId="0" xfId="2" applyFont="1" applyFill="1" applyAlignment="1">
      <alignment horizontal="left"/>
    </xf>
    <xf numFmtId="0" fontId="13" fillId="0" borderId="0" xfId="0" applyFont="1" applyAlignment="1">
      <alignment vertical="center"/>
    </xf>
    <xf numFmtId="0" fontId="34" fillId="0" borderId="0" xfId="13" applyAlignment="1">
      <alignment vertical="center"/>
    </xf>
    <xf numFmtId="0" fontId="35" fillId="0" borderId="3" xfId="14" applyAlignment="1">
      <alignment vertical="center"/>
    </xf>
    <xf numFmtId="0" fontId="37" fillId="0" borderId="0" xfId="16" applyAlignment="1">
      <alignment vertical="center"/>
    </xf>
    <xf numFmtId="0" fontId="12" fillId="20" borderId="0" xfId="18" applyAlignment="1">
      <alignment horizontal="center" vertical="center"/>
    </xf>
    <xf numFmtId="0" fontId="12" fillId="20" borderId="0" xfId="18" applyAlignment="1">
      <alignment vertical="center"/>
    </xf>
    <xf numFmtId="2" fontId="12" fillId="20" borderId="0" xfId="18" applyNumberFormat="1" applyAlignment="1">
      <alignment vertical="center"/>
    </xf>
    <xf numFmtId="0" fontId="36" fillId="11" borderId="4" xfId="15" applyFill="1" applyAlignment="1">
      <alignment horizontal="center" wrapText="1"/>
    </xf>
    <xf numFmtId="2" fontId="36" fillId="11" borderId="4" xfId="15" applyNumberFormat="1" applyFill="1" applyAlignment="1">
      <alignment horizontal="center" wrapText="1"/>
    </xf>
    <xf numFmtId="0" fontId="48" fillId="0" borderId="0" xfId="0" applyFont="1"/>
    <xf numFmtId="1" fontId="0" fillId="0" borderId="0" xfId="0" applyNumberFormat="1"/>
    <xf numFmtId="166" fontId="0" fillId="0" borderId="0" xfId="0" applyNumberFormat="1" applyAlignment="1">
      <alignment horizontal="right"/>
    </xf>
    <xf numFmtId="3" fontId="0" fillId="0" borderId="0" xfId="0" applyNumberFormat="1" applyAlignment="1">
      <alignment horizontal="right"/>
    </xf>
    <xf numFmtId="0" fontId="11" fillId="0" borderId="0" xfId="0" applyFont="1"/>
    <xf numFmtId="9" fontId="0" fillId="0" borderId="0" xfId="4" applyFont="1"/>
    <xf numFmtId="165" fontId="0" fillId="0" borderId="0" xfId="19" applyNumberFormat="1" applyFont="1"/>
    <xf numFmtId="165" fontId="0" fillId="0" borderId="0" xfId="0" applyNumberFormat="1"/>
    <xf numFmtId="0" fontId="13" fillId="0" borderId="0" xfId="0" applyFont="1"/>
    <xf numFmtId="0" fontId="49" fillId="0" borderId="0" xfId="0" applyFont="1"/>
    <xf numFmtId="0" fontId="7" fillId="0" borderId="0" xfId="0" applyFont="1" applyAlignment="1">
      <alignment horizontal="center"/>
    </xf>
    <xf numFmtId="0" fontId="0" fillId="0" borderId="0" xfId="0" applyFont="1" applyAlignment="1"/>
    <xf numFmtId="164" fontId="7" fillId="0" borderId="0" xfId="0" applyNumberFormat="1" applyFont="1" applyAlignment="1">
      <alignment horizontal="center"/>
    </xf>
    <xf numFmtId="0" fontId="26" fillId="0" borderId="0" xfId="0" applyFont="1" applyAlignment="1">
      <alignment horizontal="center" vertical="center"/>
    </xf>
    <xf numFmtId="0" fontId="50" fillId="0" borderId="0" xfId="0" applyFont="1" applyAlignment="1">
      <alignment vertical="center"/>
    </xf>
    <xf numFmtId="9" fontId="49" fillId="0" borderId="0" xfId="0" applyNumberFormat="1" applyFont="1"/>
    <xf numFmtId="9" fontId="50" fillId="0" borderId="0" xfId="0" applyNumberFormat="1" applyFont="1" applyAlignment="1">
      <alignment vertical="center"/>
    </xf>
    <xf numFmtId="0" fontId="42" fillId="0" borderId="0" xfId="0" applyFont="1" applyAlignment="1">
      <alignment horizontal="left" vertical="center"/>
    </xf>
    <xf numFmtId="0" fontId="36" fillId="0" borderId="4" xfId="15" applyAlignment="1">
      <alignment horizontal="center"/>
    </xf>
    <xf numFmtId="0" fontId="37" fillId="0" borderId="0" xfId="16" applyAlignment="1">
      <alignment horizontal="right"/>
    </xf>
    <xf numFmtId="0" fontId="51" fillId="0" borderId="0" xfId="0" applyFont="1" applyAlignment="1">
      <alignment horizontal="center"/>
    </xf>
    <xf numFmtId="0" fontId="37" fillId="0" borderId="0" xfId="16"/>
    <xf numFmtId="2" fontId="0" fillId="0" borderId="0" xfId="0" applyNumberFormat="1"/>
    <xf numFmtId="0" fontId="8" fillId="21" borderId="0" xfId="20"/>
    <xf numFmtId="0" fontId="8" fillId="25" borderId="0" xfId="24"/>
    <xf numFmtId="2" fontId="8" fillId="25" borderId="0" xfId="24" applyNumberFormat="1"/>
    <xf numFmtId="0" fontId="7" fillId="21" borderId="0" xfId="20" applyFont="1" applyAlignment="1">
      <alignment horizontal="center"/>
    </xf>
    <xf numFmtId="0" fontId="7" fillId="21" borderId="0" xfId="20" applyFont="1"/>
    <xf numFmtId="164" fontId="0" fillId="0" borderId="0" xfId="0" applyNumberFormat="1" applyFont="1"/>
    <xf numFmtId="0" fontId="7" fillId="0" borderId="0" xfId="0" applyFont="1" applyAlignment="1">
      <alignment vertical="center"/>
    </xf>
    <xf numFmtId="164" fontId="20" fillId="0" borderId="0" xfId="0" applyNumberFormat="1" applyFont="1" applyAlignment="1">
      <alignment horizontal="center"/>
    </xf>
    <xf numFmtId="0" fontId="0" fillId="0" borderId="0" xfId="0" applyFont="1" applyAlignment="1">
      <alignment horizontal="center"/>
    </xf>
    <xf numFmtId="0" fontId="0" fillId="0" borderId="0" xfId="0" applyFont="1" applyAlignment="1">
      <alignment wrapText="1"/>
    </xf>
    <xf numFmtId="0" fontId="52" fillId="0" borderId="0" xfId="0" applyFont="1" applyAlignment="1">
      <alignment horizontal="right"/>
    </xf>
    <xf numFmtId="164" fontId="21" fillId="0" borderId="0" xfId="0" applyNumberFormat="1" applyFont="1" applyAlignment="1">
      <alignment horizontal="center"/>
    </xf>
    <xf numFmtId="2" fontId="8" fillId="22" borderId="0" xfId="21" applyNumberFormat="1" applyAlignment="1">
      <alignment horizontal="center"/>
    </xf>
    <xf numFmtId="164" fontId="8" fillId="22" borderId="0" xfId="21" applyNumberFormat="1" applyAlignment="1">
      <alignment horizontal="center"/>
    </xf>
    <xf numFmtId="164" fontId="8" fillId="25" borderId="0" xfId="24" applyNumberFormat="1" applyAlignment="1">
      <alignment horizontal="center"/>
    </xf>
    <xf numFmtId="0" fontId="7" fillId="22" borderId="0" xfId="21" applyFont="1" applyAlignment="1">
      <alignment horizontal="center" wrapText="1"/>
    </xf>
    <xf numFmtId="0" fontId="7" fillId="25" borderId="0" xfId="24" applyFont="1" applyAlignment="1">
      <alignment horizontal="center" wrapText="1"/>
    </xf>
    <xf numFmtId="1" fontId="7" fillId="21" borderId="0" xfId="20" applyNumberFormat="1" applyFont="1" applyAlignment="1">
      <alignment horizontal="center"/>
    </xf>
    <xf numFmtId="1" fontId="7" fillId="21" borderId="0" xfId="20" applyNumberFormat="1" applyFont="1" applyBorder="1" applyAlignment="1">
      <alignment horizontal="center" vertical="center" wrapText="1"/>
    </xf>
    <xf numFmtId="164" fontId="8" fillId="23" borderId="0" xfId="22" applyNumberFormat="1" applyAlignment="1">
      <alignment horizontal="center"/>
    </xf>
    <xf numFmtId="2" fontId="8" fillId="23" borderId="0" xfId="22" applyNumberFormat="1" applyAlignment="1">
      <alignment horizontal="center"/>
    </xf>
    <xf numFmtId="2" fontId="8" fillId="23" borderId="0" xfId="22" applyNumberFormat="1"/>
    <xf numFmtId="0" fontId="7" fillId="23" borderId="0" xfId="22" applyFont="1" applyAlignment="1">
      <alignment horizontal="center" wrapText="1"/>
    </xf>
    <xf numFmtId="0" fontId="7" fillId="23" borderId="0" xfId="22" applyFont="1" applyAlignment="1">
      <alignment horizontal="center"/>
    </xf>
    <xf numFmtId="1" fontId="0" fillId="0" borderId="0" xfId="0" applyNumberFormat="1" applyFill="1"/>
    <xf numFmtId="0" fontId="8" fillId="24" borderId="0" xfId="23"/>
    <xf numFmtId="3" fontId="8" fillId="24" borderId="0" xfId="23" applyNumberFormat="1" applyAlignment="1">
      <alignment horizontal="right"/>
    </xf>
    <xf numFmtId="3" fontId="8" fillId="24" borderId="0" xfId="23" applyNumberFormat="1"/>
    <xf numFmtId="2" fontId="8" fillId="24" borderId="0" xfId="23" applyNumberFormat="1"/>
    <xf numFmtId="0" fontId="7" fillId="0" borderId="0" xfId="0" applyFont="1" applyAlignment="1">
      <alignment horizontal="center" wrapText="1"/>
    </xf>
    <xf numFmtId="0" fontId="7" fillId="24" borderId="0" xfId="23" applyFont="1" applyAlignment="1">
      <alignment horizontal="center" wrapText="1"/>
    </xf>
    <xf numFmtId="0" fontId="40" fillId="0" borderId="0" xfId="0" applyFont="1" applyAlignment="1">
      <alignment vertical="center"/>
    </xf>
    <xf numFmtId="0" fontId="7" fillId="21" borderId="0" xfId="20" applyFont="1" applyAlignment="1">
      <alignment horizontal="center"/>
    </xf>
    <xf numFmtId="2" fontId="8" fillId="21" borderId="0" xfId="20" applyNumberFormat="1"/>
    <xf numFmtId="0" fontId="7" fillId="25" borderId="0" xfId="24" applyFont="1" applyAlignment="1">
      <alignment horizontal="center"/>
    </xf>
    <xf numFmtId="0" fontId="7" fillId="14" borderId="0" xfId="0" applyFont="1" applyFill="1" applyBorder="1" applyAlignment="1">
      <alignment horizontal="center" vertical="center"/>
    </xf>
    <xf numFmtId="0" fontId="53" fillId="0" borderId="5" xfId="0" applyFont="1" applyFill="1" applyBorder="1" applyAlignment="1" applyProtection="1">
      <alignment horizontal="right" vertical="center"/>
    </xf>
    <xf numFmtId="0" fontId="53" fillId="0" borderId="5" xfId="0" applyFont="1" applyFill="1" applyBorder="1" applyAlignment="1" applyProtection="1">
      <alignment vertical="center"/>
    </xf>
    <xf numFmtId="167" fontId="53" fillId="0" borderId="5" xfId="0" applyNumberFormat="1" applyFont="1" applyFill="1" applyBorder="1" applyAlignment="1" applyProtection="1">
      <alignment horizontal="right" vertical="center"/>
    </xf>
    <xf numFmtId="0" fontId="8" fillId="25" borderId="0" xfId="24" applyAlignment="1">
      <alignment horizontal="center"/>
    </xf>
    <xf numFmtId="0" fontId="8" fillId="23" borderId="0" xfId="22"/>
    <xf numFmtId="0" fontId="54" fillId="0" borderId="6" xfId="0" applyFont="1" applyFill="1" applyBorder="1" applyAlignment="1" applyProtection="1">
      <alignment vertical="center"/>
    </xf>
    <xf numFmtId="1" fontId="7" fillId="0" borderId="0" xfId="0" applyNumberFormat="1" applyFont="1"/>
    <xf numFmtId="9" fontId="7" fillId="0" borderId="0" xfId="4" applyFont="1"/>
    <xf numFmtId="0" fontId="52" fillId="0" borderId="0" xfId="0" applyFont="1"/>
    <xf numFmtId="1" fontId="55" fillId="0" borderId="0" xfId="0" applyNumberFormat="1" applyFont="1" applyAlignment="1">
      <alignment horizontal="center"/>
    </xf>
    <xf numFmtId="1" fontId="7" fillId="0" borderId="0" xfId="4" applyNumberFormat="1" applyFont="1"/>
    <xf numFmtId="2" fontId="7" fillId="0" borderId="0" xfId="0" applyNumberFormat="1" applyFont="1"/>
    <xf numFmtId="0" fontId="7" fillId="23" borderId="0" xfId="22" applyFont="1"/>
    <xf numFmtId="10" fontId="7" fillId="17" borderId="0" xfId="9" applyNumberFormat="1" applyFont="1" applyFill="1" applyBorder="1" applyAlignment="1">
      <alignment horizontal="center" vertical="center"/>
    </xf>
    <xf numFmtId="0" fontId="7" fillId="17" borderId="0" xfId="9" applyFont="1" applyFill="1" applyBorder="1" applyAlignment="1">
      <alignment horizontal="center" vertical="center" wrapText="1"/>
    </xf>
    <xf numFmtId="0" fontId="7" fillId="14" borderId="0" xfId="9" applyFont="1" applyFill="1" applyBorder="1" applyAlignment="1">
      <alignment horizontal="center" vertical="center"/>
    </xf>
    <xf numFmtId="1" fontId="56" fillId="12" borderId="0" xfId="5" applyNumberFormat="1" applyFont="1" applyFill="1" applyBorder="1"/>
    <xf numFmtId="1" fontId="57" fillId="17" borderId="0" xfId="3" applyNumberFormat="1" applyFont="1" applyFill="1" applyBorder="1"/>
    <xf numFmtId="0" fontId="11" fillId="0" borderId="0" xfId="0" applyFont="1" applyFill="1" applyBorder="1" applyAlignment="1">
      <alignment vertical="center"/>
    </xf>
    <xf numFmtId="10" fontId="0" fillId="0" borderId="0" xfId="0" applyNumberFormat="1"/>
    <xf numFmtId="0" fontId="7" fillId="21" borderId="0" xfId="20" applyFont="1" applyAlignment="1">
      <alignment horizontal="center" wrapText="1"/>
    </xf>
    <xf numFmtId="0" fontId="7" fillId="0" borderId="0" xfId="0" applyFont="1" applyAlignment="1">
      <alignment horizontal="center"/>
    </xf>
    <xf numFmtId="0" fontId="0" fillId="0" borderId="0" xfId="0" applyAlignment="1">
      <alignment horizontal="center" wrapText="1"/>
    </xf>
    <xf numFmtId="0" fontId="0" fillId="0" borderId="0" xfId="0" applyAlignment="1"/>
    <xf numFmtId="1" fontId="0" fillId="0" borderId="0" xfId="4" applyNumberFormat="1" applyFont="1" applyAlignment="1">
      <alignment horizontal="center" vertical="center"/>
    </xf>
    <xf numFmtId="0" fontId="20" fillId="0" borderId="0" xfId="0" applyFont="1" applyAlignment="1">
      <alignment horizontal="center" vertical="center"/>
    </xf>
    <xf numFmtId="0" fontId="8" fillId="21" borderId="0" xfId="20" applyAlignment="1">
      <alignment horizontal="center" wrapText="1"/>
    </xf>
    <xf numFmtId="0" fontId="8" fillId="26" borderId="0" xfId="25"/>
    <xf numFmtId="0" fontId="7" fillId="26" borderId="0" xfId="25" applyFont="1" applyAlignment="1">
      <alignment horizontal="center" wrapText="1"/>
    </xf>
    <xf numFmtId="0" fontId="59" fillId="0" borderId="0" xfId="0" applyFont="1"/>
    <xf numFmtId="0" fontId="48" fillId="0" borderId="0" xfId="0" applyFont="1" applyAlignment="1">
      <alignment horizontal="left" indent="1"/>
    </xf>
    <xf numFmtId="0" fontId="58" fillId="0" borderId="0" xfId="0" applyFont="1"/>
    <xf numFmtId="0" fontId="48" fillId="0" borderId="0" xfId="0" applyFont="1" applyAlignment="1">
      <alignment horizontal="left"/>
    </xf>
    <xf numFmtId="168" fontId="0" fillId="0" borderId="0" xfId="0" applyNumberFormat="1"/>
    <xf numFmtId="166" fontId="0" fillId="0" borderId="0" xfId="0" applyNumberFormat="1"/>
    <xf numFmtId="0" fontId="61" fillId="0" borderId="0" xfId="0" applyFont="1"/>
    <xf numFmtId="169" fontId="0" fillId="0" borderId="0" xfId="0" applyNumberFormat="1"/>
    <xf numFmtId="0" fontId="61" fillId="0" borderId="0" xfId="0" applyFont="1" applyFill="1" applyBorder="1"/>
    <xf numFmtId="0" fontId="0" fillId="0" borderId="0" xfId="0" applyBorder="1" applyAlignment="1">
      <alignment wrapText="1"/>
    </xf>
    <xf numFmtId="0" fontId="0" fillId="0" borderId="0" xfId="0" applyFill="1" applyBorder="1" applyAlignment="1">
      <alignment wrapText="1"/>
    </xf>
    <xf numFmtId="0" fontId="7" fillId="21" borderId="0" xfId="20" applyFont="1" applyAlignment="1">
      <alignment horizontal="center"/>
    </xf>
    <xf numFmtId="0" fontId="38" fillId="5" borderId="1" xfId="5" applyFont="1" applyAlignment="1">
      <alignment horizontal="center" vertical="center"/>
    </xf>
    <xf numFmtId="0" fontId="38" fillId="5" borderId="1" xfId="5" applyFont="1" applyAlignment="1">
      <alignment horizontal="center"/>
    </xf>
    <xf numFmtId="0" fontId="21" fillId="6" borderId="1" xfId="6" applyFont="1" applyAlignment="1">
      <alignment horizontal="center"/>
    </xf>
    <xf numFmtId="0" fontId="7" fillId="24" borderId="0" xfId="23" applyFont="1" applyAlignment="1">
      <alignment horizontal="center"/>
    </xf>
    <xf numFmtId="0" fontId="7" fillId="25" borderId="0" xfId="24" applyFont="1" applyAlignment="1">
      <alignment horizontal="center"/>
    </xf>
    <xf numFmtId="0" fontId="7" fillId="22" borderId="0" xfId="21" applyFont="1" applyAlignment="1">
      <alignment horizontal="center"/>
    </xf>
    <xf numFmtId="0" fontId="7" fillId="21" borderId="0" xfId="20" applyFont="1" applyAlignment="1">
      <alignment horizontal="center" wrapText="1"/>
    </xf>
    <xf numFmtId="0" fontId="21" fillId="17" borderId="0" xfId="0" applyFont="1" applyFill="1" applyBorder="1" applyAlignment="1">
      <alignment horizontal="center" vertical="center" wrapText="1"/>
    </xf>
    <xf numFmtId="0" fontId="7" fillId="14" borderId="0" xfId="0" applyFont="1" applyFill="1" applyBorder="1" applyAlignment="1">
      <alignment horizontal="center" vertical="center"/>
    </xf>
    <xf numFmtId="0" fontId="7" fillId="12" borderId="0" xfId="0" applyFont="1" applyFill="1" applyBorder="1" applyAlignment="1">
      <alignment horizontal="center" vertical="center"/>
    </xf>
    <xf numFmtId="0" fontId="7" fillId="0" borderId="0" xfId="0" applyFont="1" applyFill="1" applyBorder="1" applyAlignment="1">
      <alignment horizontal="center"/>
    </xf>
    <xf numFmtId="0" fontId="7" fillId="17" borderId="0" xfId="0" applyFont="1" applyFill="1" applyBorder="1" applyAlignment="1">
      <alignment horizontal="center" vertical="center"/>
    </xf>
    <xf numFmtId="0" fontId="7" fillId="0" borderId="0" xfId="0" applyFont="1" applyAlignment="1">
      <alignment horizontal="center"/>
    </xf>
    <xf numFmtId="0" fontId="20" fillId="0" borderId="0" xfId="0" applyFont="1" applyFill="1" applyBorder="1" applyAlignment="1">
      <alignment horizontal="center" vertical="center" wrapText="1"/>
    </xf>
    <xf numFmtId="0" fontId="7" fillId="18" borderId="0" xfId="0" applyFont="1" applyFill="1" applyAlignment="1">
      <alignment horizontal="center"/>
    </xf>
    <xf numFmtId="0" fontId="26" fillId="16" borderId="0" xfId="0" applyFont="1" applyFill="1" applyAlignment="1">
      <alignment horizontal="center"/>
    </xf>
    <xf numFmtId="0" fontId="7" fillId="26" borderId="0" xfId="25" applyFont="1" applyAlignment="1">
      <alignment horizontal="center"/>
    </xf>
    <xf numFmtId="0" fontId="41" fillId="20" borderId="0" xfId="18" applyFont="1" applyBorder="1" applyAlignment="1">
      <alignment horizontal="center"/>
    </xf>
  </cellXfs>
  <cellStyles count="26">
    <cellStyle name="20% - Accent1" xfId="20" builtinId="30"/>
    <cellStyle name="20% - Accent2" xfId="21" builtinId="34"/>
    <cellStyle name="20% - Accent3" xfId="22" builtinId="38"/>
    <cellStyle name="20% - Accent4" xfId="23" builtinId="42"/>
    <cellStyle name="20% - Accent5" xfId="25" builtinId="46"/>
    <cellStyle name="20% - Accent6" xfId="24" builtinId="50"/>
    <cellStyle name="40% - Accent1" xfId="17" builtinId="31"/>
    <cellStyle name="60% - Accent1" xfId="9" builtinId="32"/>
    <cellStyle name="60% - Accent5" xfId="11" builtinId="48"/>
    <cellStyle name="Accent1" xfId="8" builtinId="29"/>
    <cellStyle name="Accent3" xfId="10" builtinId="37"/>
    <cellStyle name="Accent5" xfId="18" builtinId="45"/>
    <cellStyle name="Bad" xfId="3" builtinId="27"/>
    <cellStyle name="Calculation" xfId="6" builtinId="22"/>
    <cellStyle name="Comma" xfId="19" builtinId="3"/>
    <cellStyle name="Explanatory Text" xfId="16" builtinId="53"/>
    <cellStyle name="Good" xfId="1" builtinId="26"/>
    <cellStyle name="Heading 1" xfId="14" builtinId="16"/>
    <cellStyle name="Heading 2" xfId="15" builtinId="17"/>
    <cellStyle name="Hyperlink" xfId="12" builtinId="8"/>
    <cellStyle name="Input" xfId="5" builtinId="20"/>
    <cellStyle name="Neutral" xfId="2" builtinId="28"/>
    <cellStyle name="Normal" xfId="0" builtinId="0"/>
    <cellStyle name="Note" xfId="7" builtinId="10"/>
    <cellStyle name="Percent" xfId="4" builtinId="5"/>
    <cellStyle name="Title" xfId="13" builtinId="1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1"/>
          <c:order val="1"/>
          <c:tx>
            <c:v>Predicted</c:v>
          </c:tx>
          <c:spPr>
            <a:ln w="19050">
              <a:solidFill>
                <a:srgbClr val="C00000"/>
              </a:solidFill>
            </a:ln>
          </c:spPr>
          <c:marker>
            <c:symbol val="none"/>
          </c:marker>
          <c:xVal>
            <c:numRef>
              <c:f>'[1]Bev-Holt-Combined'!$G$16:$G$100</c:f>
              <c:numCache>
                <c:formatCode>General</c:formatCode>
                <c:ptCount val="85"/>
                <c:pt idx="0">
                  <c:v>0</c:v>
                </c:pt>
                <c:pt idx="1">
                  <c:v>50000</c:v>
                </c:pt>
                <c:pt idx="2">
                  <c:v>100000</c:v>
                </c:pt>
                <c:pt idx="3">
                  <c:v>150000</c:v>
                </c:pt>
                <c:pt idx="4">
                  <c:v>200000</c:v>
                </c:pt>
                <c:pt idx="5">
                  <c:v>250000</c:v>
                </c:pt>
                <c:pt idx="6">
                  <c:v>300000</c:v>
                </c:pt>
                <c:pt idx="7">
                  <c:v>350000</c:v>
                </c:pt>
                <c:pt idx="8">
                  <c:v>400000</c:v>
                </c:pt>
                <c:pt idx="9">
                  <c:v>450000</c:v>
                </c:pt>
                <c:pt idx="10">
                  <c:v>500000</c:v>
                </c:pt>
                <c:pt idx="11">
                  <c:v>550000</c:v>
                </c:pt>
                <c:pt idx="12">
                  <c:v>600000</c:v>
                </c:pt>
                <c:pt idx="13">
                  <c:v>650000</c:v>
                </c:pt>
                <c:pt idx="14">
                  <c:v>700000</c:v>
                </c:pt>
                <c:pt idx="15">
                  <c:v>750000</c:v>
                </c:pt>
                <c:pt idx="16">
                  <c:v>800000</c:v>
                </c:pt>
                <c:pt idx="17">
                  <c:v>850000</c:v>
                </c:pt>
                <c:pt idx="18">
                  <c:v>900000</c:v>
                </c:pt>
                <c:pt idx="19">
                  <c:v>950000</c:v>
                </c:pt>
                <c:pt idx="20">
                  <c:v>1000000</c:v>
                </c:pt>
                <c:pt idx="21">
                  <c:v>1050000</c:v>
                </c:pt>
                <c:pt idx="22">
                  <c:v>1100000</c:v>
                </c:pt>
                <c:pt idx="23">
                  <c:v>1150000</c:v>
                </c:pt>
                <c:pt idx="24">
                  <c:v>1200000</c:v>
                </c:pt>
                <c:pt idx="25">
                  <c:v>1250000</c:v>
                </c:pt>
                <c:pt idx="26">
                  <c:v>1300000</c:v>
                </c:pt>
                <c:pt idx="27">
                  <c:v>1350000</c:v>
                </c:pt>
                <c:pt idx="28">
                  <c:v>1400000</c:v>
                </c:pt>
                <c:pt idx="29">
                  <c:v>1450000</c:v>
                </c:pt>
                <c:pt idx="30">
                  <c:v>1500000</c:v>
                </c:pt>
                <c:pt idx="31">
                  <c:v>1550000</c:v>
                </c:pt>
                <c:pt idx="32">
                  <c:v>1600000</c:v>
                </c:pt>
                <c:pt idx="33">
                  <c:v>1650000</c:v>
                </c:pt>
                <c:pt idx="34">
                  <c:v>1700000</c:v>
                </c:pt>
                <c:pt idx="35">
                  <c:v>1750000</c:v>
                </c:pt>
                <c:pt idx="36">
                  <c:v>1800000</c:v>
                </c:pt>
                <c:pt idx="37">
                  <c:v>1850000</c:v>
                </c:pt>
                <c:pt idx="38">
                  <c:v>1900000</c:v>
                </c:pt>
                <c:pt idx="39">
                  <c:v>1950000</c:v>
                </c:pt>
                <c:pt idx="40">
                  <c:v>2000000</c:v>
                </c:pt>
                <c:pt idx="41">
                  <c:v>2050000</c:v>
                </c:pt>
                <c:pt idx="42">
                  <c:v>2100000</c:v>
                </c:pt>
                <c:pt idx="43">
                  <c:v>2150000</c:v>
                </c:pt>
                <c:pt idx="44">
                  <c:v>2200000</c:v>
                </c:pt>
                <c:pt idx="45">
                  <c:v>2250000</c:v>
                </c:pt>
                <c:pt idx="46">
                  <c:v>2300000</c:v>
                </c:pt>
                <c:pt idx="47">
                  <c:v>2350000</c:v>
                </c:pt>
                <c:pt idx="48">
                  <c:v>2400000</c:v>
                </c:pt>
                <c:pt idx="49">
                  <c:v>2450000</c:v>
                </c:pt>
                <c:pt idx="50">
                  <c:v>2500000</c:v>
                </c:pt>
                <c:pt idx="51">
                  <c:v>2550000</c:v>
                </c:pt>
                <c:pt idx="52">
                  <c:v>2600000</c:v>
                </c:pt>
                <c:pt idx="53">
                  <c:v>2650000</c:v>
                </c:pt>
                <c:pt idx="54">
                  <c:v>2700000</c:v>
                </c:pt>
                <c:pt idx="55">
                  <c:v>2750000</c:v>
                </c:pt>
                <c:pt idx="56">
                  <c:v>2800000</c:v>
                </c:pt>
                <c:pt idx="57">
                  <c:v>2850000</c:v>
                </c:pt>
                <c:pt idx="58">
                  <c:v>2900000</c:v>
                </c:pt>
                <c:pt idx="59">
                  <c:v>2950000</c:v>
                </c:pt>
                <c:pt idx="60">
                  <c:v>3000000</c:v>
                </c:pt>
                <c:pt idx="61">
                  <c:v>3050000</c:v>
                </c:pt>
                <c:pt idx="62">
                  <c:v>3100000</c:v>
                </c:pt>
                <c:pt idx="63">
                  <c:v>3150000</c:v>
                </c:pt>
                <c:pt idx="64">
                  <c:v>3200000</c:v>
                </c:pt>
                <c:pt idx="65">
                  <c:v>3250000</c:v>
                </c:pt>
                <c:pt idx="66">
                  <c:v>3300000</c:v>
                </c:pt>
                <c:pt idx="67">
                  <c:v>3350000</c:v>
                </c:pt>
                <c:pt idx="68">
                  <c:v>3400000</c:v>
                </c:pt>
                <c:pt idx="69">
                  <c:v>3450000</c:v>
                </c:pt>
                <c:pt idx="70">
                  <c:v>3500000</c:v>
                </c:pt>
                <c:pt idx="71">
                  <c:v>3550000</c:v>
                </c:pt>
                <c:pt idx="72">
                  <c:v>3600000</c:v>
                </c:pt>
                <c:pt idx="73">
                  <c:v>3650000</c:v>
                </c:pt>
                <c:pt idx="74">
                  <c:v>3700000</c:v>
                </c:pt>
                <c:pt idx="75">
                  <c:v>3750000</c:v>
                </c:pt>
                <c:pt idx="76">
                  <c:v>3800000</c:v>
                </c:pt>
                <c:pt idx="77">
                  <c:v>3850000</c:v>
                </c:pt>
                <c:pt idx="78">
                  <c:v>3900000</c:v>
                </c:pt>
                <c:pt idx="79">
                  <c:v>3950000</c:v>
                </c:pt>
                <c:pt idx="80">
                  <c:v>4000000</c:v>
                </c:pt>
                <c:pt idx="81">
                  <c:v>4050000</c:v>
                </c:pt>
                <c:pt idx="82">
                  <c:v>4100000</c:v>
                </c:pt>
                <c:pt idx="83">
                  <c:v>4150000</c:v>
                </c:pt>
                <c:pt idx="84">
                  <c:v>4200000</c:v>
                </c:pt>
              </c:numCache>
            </c:numRef>
          </c:xVal>
          <c:yVal>
            <c:numRef>
              <c:f>'[1]Bev-Holt-Combined'!$H$16:$H$100</c:f>
              <c:numCache>
                <c:formatCode>General</c:formatCode>
                <c:ptCount val="85"/>
                <c:pt idx="0">
                  <c:v>0</c:v>
                </c:pt>
                <c:pt idx="1">
                  <c:v>13889.457783799111</c:v>
                </c:pt>
                <c:pt idx="2">
                  <c:v>24615.723488044256</c:v>
                </c:pt>
                <c:pt idx="3">
                  <c:v>33148.910485061628</c:v>
                </c:pt>
                <c:pt idx="4">
                  <c:v>40099.228559148396</c:v>
                </c:pt>
                <c:pt idx="5">
                  <c:v>45869.719384167955</c:v>
                </c:pt>
                <c:pt idx="6">
                  <c:v>50737.296003368589</c:v>
                </c:pt>
                <c:pt idx="7">
                  <c:v>54898.501542596023</c:v>
                </c:pt>
                <c:pt idx="8">
                  <c:v>58496.694410280455</c:v>
                </c:pt>
                <c:pt idx="9">
                  <c:v>61638.898180278375</c:v>
                </c:pt>
                <c:pt idx="10">
                  <c:v>64406.62717791168</c:v>
                </c:pt>
                <c:pt idx="11">
                  <c:v>66863.059282842209</c:v>
                </c:pt>
                <c:pt idx="12">
                  <c:v>69057.917336507584</c:v>
                </c:pt>
                <c:pt idx="13">
                  <c:v>71030.869983604556</c:v>
                </c:pt>
                <c:pt idx="14">
                  <c:v>72813.950648373924</c:v>
                </c:pt>
                <c:pt idx="15">
                  <c:v>74433.310185126233</c:v>
                </c:pt>
                <c:pt idx="16">
                  <c:v>75910.507939013114</c:v>
                </c:pt>
                <c:pt idx="17">
                  <c:v>77263.477081920297</c:v>
                </c:pt>
                <c:pt idx="18">
                  <c:v>78507.2562290122</c:v>
                </c:pt>
                <c:pt idx="19">
                  <c:v>79654.550792611175</c:v>
                </c:pt>
                <c:pt idx="20">
                  <c:v>80716.168575016753</c:v>
                </c:pt>
                <c:pt idx="21">
                  <c:v>81701.36128732108</c:v>
                </c:pt>
                <c:pt idx="22">
                  <c:v>82618.09487378932</c:v>
                </c:pt>
                <c:pt idx="23">
                  <c:v>83473.265375479474</c:v>
                </c:pt>
                <c:pt idx="24">
                  <c:v>84272.872717815335</c:v>
                </c:pt>
                <c:pt idx="25">
                  <c:v>85022.161689403089</c:v>
                </c:pt>
                <c:pt idx="26">
                  <c:v>85725.737117820623</c:v>
                </c:pt>
                <c:pt idx="27">
                  <c:v>86387.658589061204</c:v>
                </c:pt>
                <c:pt idx="28">
                  <c:v>87011.518827552049</c:v>
                </c:pt>
                <c:pt idx="29">
                  <c:v>87600.508933220946</c:v>
                </c:pt>
                <c:pt idx="30">
                  <c:v>88157.472976858044</c:v>
                </c:pt>
                <c:pt idx="31">
                  <c:v>88684.953925401234</c:v>
                </c:pt>
                <c:pt idx="32">
                  <c:v>89185.232462063286</c:v>
                </c:pt>
                <c:pt idx="33">
                  <c:v>89660.359951519669</c:v>
                </c:pt>
                <c:pt idx="34">
                  <c:v>90112.186555125896</c:v>
                </c:pt>
                <c:pt idx="35">
                  <c:v>90542.385308711891</c:v>
                </c:pt>
                <c:pt idx="36">
                  <c:v>90952.472823558666</c:v>
                </c:pt>
                <c:pt idx="37">
                  <c:v>91343.827150453901</c:v>
                </c:pt>
                <c:pt idx="38">
                  <c:v>91717.703250274557</c:v>
                </c:pt>
                <c:pt idx="39">
                  <c:v>92075.246437055292</c:v>
                </c:pt>
                <c:pt idx="40">
                  <c:v>92417.504096920791</c:v>
                </c:pt>
                <c:pt idx="41">
                  <c:v>92745.435935465939</c:v>
                </c:pt>
                <c:pt idx="42">
                  <c:v>93059.922964745318</c:v>
                </c:pt>
                <c:pt idx="43">
                  <c:v>93361.775407099805</c:v>
                </c:pt>
                <c:pt idx="44">
                  <c:v>93651.739665128029</c:v>
                </c:pt>
                <c:pt idx="45">
                  <c:v>93930.504484043428</c:v>
                </c:pt>
                <c:pt idx="46">
                  <c:v>94198.706413523658</c:v>
                </c:pt>
                <c:pt idx="47">
                  <c:v>94456.934660227125</c:v>
                </c:pt>
                <c:pt idx="48">
                  <c:v>94705.735408836801</c:v>
                </c:pt>
                <c:pt idx="49">
                  <c:v>94945.615678324961</c:v>
                </c:pt>
                <c:pt idx="50">
                  <c:v>95177.04677073659</c:v>
                </c:pt>
                <c:pt idx="51">
                  <c:v>95400.467361855408</c:v>
                </c:pt>
                <c:pt idx="52">
                  <c:v>95616.286276398925</c:v>
                </c:pt>
                <c:pt idx="53">
                  <c:v>95824.884984681645</c:v>
                </c:pt>
                <c:pt idx="54">
                  <c:v>96026.619852823656</c:v>
                </c:pt>
                <c:pt idx="55">
                  <c:v>96221.824174428693</c:v>
                </c:pt>
                <c:pt idx="56">
                  <c:v>96410.81000809664</c:v>
                </c:pt>
                <c:pt idx="57">
                  <c:v>96593.869842080458</c:v>
                </c:pt>
                <c:pt idx="58">
                  <c:v>96771.278104765166</c:v>
                </c:pt>
                <c:pt idx="59">
                  <c:v>96943.292537375266</c:v>
                </c:pt>
                <c:pt idx="60">
                  <c:v>97110.155443351803</c:v>
                </c:pt>
                <c:pt idx="61">
                  <c:v>97272.094827135545</c:v>
                </c:pt>
                <c:pt idx="62">
                  <c:v>97429.325433611564</c:v>
                </c:pt>
                <c:pt idx="63">
                  <c:v>97582.049698180243</c:v>
                </c:pt>
                <c:pt idx="64">
                  <c:v>97730.458616293079</c:v>
                </c:pt>
                <c:pt idx="65">
                  <c:v>97874.732540307159</c:v>
                </c:pt>
                <c:pt idx="66">
                  <c:v>98015.041910648448</c:v>
                </c:pt>
                <c:pt idx="67">
                  <c:v>98151.547927516294</c:v>
                </c:pt>
                <c:pt idx="68">
                  <c:v>98284.403168695004</c:v>
                </c:pt>
                <c:pt idx="69">
                  <c:v>98413.752158450341</c:v>
                </c:pt>
                <c:pt idx="70">
                  <c:v>98539.731891970587</c:v>
                </c:pt>
                <c:pt idx="71">
                  <c:v>98662.472319352848</c:v>
                </c:pt>
                <c:pt idx="72">
                  <c:v>98782.096792729164</c:v>
                </c:pt>
                <c:pt idx="73">
                  <c:v>98898.722479766497</c:v>
                </c:pt>
                <c:pt idx="74">
                  <c:v>99012.460746454468</c:v>
                </c:pt>
                <c:pt idx="75">
                  <c:v>99123.417511809384</c:v>
                </c:pt>
                <c:pt idx="76">
                  <c:v>99231.693576869642</c:v>
                </c:pt>
                <c:pt idx="77">
                  <c:v>99337.384930130196</c:v>
                </c:pt>
                <c:pt idx="78">
                  <c:v>99440.583031361486</c:v>
                </c:pt>
                <c:pt idx="79">
                  <c:v>99541.375075576827</c:v>
                </c:pt>
                <c:pt idx="80">
                  <c:v>99639.844238749167</c:v>
                </c:pt>
                <c:pt idx="81">
                  <c:v>99736.069906733072</c:v>
                </c:pt>
                <c:pt idx="82">
                  <c:v>99830.127888715651</c:v>
                </c:pt>
                <c:pt idx="83">
                  <c:v>99922.090616403017</c:v>
                </c:pt>
                <c:pt idx="84">
                  <c:v>100012.02733004192</c:v>
                </c:pt>
              </c:numCache>
            </c:numRef>
          </c:yVal>
          <c:smooth val="1"/>
          <c:extLst>
            <c:ext xmlns:c16="http://schemas.microsoft.com/office/drawing/2014/chart" uri="{C3380CC4-5D6E-409C-BE32-E72D297353CC}">
              <c16:uniqueId val="{00000000-9EBE-3247-B530-72000A9612B5}"/>
            </c:ext>
          </c:extLst>
        </c:ser>
        <c:dLbls>
          <c:showLegendKey val="0"/>
          <c:showVal val="0"/>
          <c:showCatName val="0"/>
          <c:showSerName val="0"/>
          <c:showPercent val="0"/>
          <c:showBubbleSize val="0"/>
        </c:dLbls>
        <c:axId val="266624384"/>
        <c:axId val="266626560"/>
      </c:scatterChart>
      <c:scatterChart>
        <c:scatterStyle val="lineMarker"/>
        <c:varyColors val="0"/>
        <c:ser>
          <c:idx val="0"/>
          <c:order val="0"/>
          <c:spPr>
            <a:ln w="19050">
              <a:noFill/>
            </a:ln>
          </c:spPr>
          <c:xVal>
            <c:numRef>
              <c:f>'[1]Bev-Holt-Combined'!$B$16:$B$26</c:f>
              <c:numCache>
                <c:formatCode>General</c:formatCode>
                <c:ptCount val="11"/>
                <c:pt idx="0">
                  <c:v>747045</c:v>
                </c:pt>
                <c:pt idx="1">
                  <c:v>626368.5</c:v>
                </c:pt>
                <c:pt idx="2">
                  <c:v>101521.5</c:v>
                </c:pt>
                <c:pt idx="3">
                  <c:v>149409</c:v>
                </c:pt>
                <c:pt idx="4">
                  <c:v>181972.5</c:v>
                </c:pt>
                <c:pt idx="5">
                  <c:v>3913366.5</c:v>
                </c:pt>
                <c:pt idx="6">
                  <c:v>1656907.5</c:v>
                </c:pt>
                <c:pt idx="7">
                  <c:v>739383</c:v>
                </c:pt>
                <c:pt idx="8">
                  <c:v>605298</c:v>
                </c:pt>
                <c:pt idx="9">
                  <c:v>2352234</c:v>
                </c:pt>
                <c:pt idx="10">
                  <c:v>2045754</c:v>
                </c:pt>
              </c:numCache>
            </c:numRef>
          </c:xVal>
          <c:yVal>
            <c:numRef>
              <c:f>'[1]Bev-Holt-Combined'!$C$16:$C$26</c:f>
              <c:numCache>
                <c:formatCode>General</c:formatCode>
                <c:ptCount val="11"/>
                <c:pt idx="0">
                  <c:v>77466.791666666672</c:v>
                </c:pt>
                <c:pt idx="1">
                  <c:v>125619.91907514451</c:v>
                </c:pt>
                <c:pt idx="2">
                  <c:v>17113</c:v>
                </c:pt>
                <c:pt idx="3">
                  <c:v>36297.140425531921</c:v>
                </c:pt>
                <c:pt idx="4">
                  <c:v>70211.736000000004</c:v>
                </c:pt>
                <c:pt idx="5">
                  <c:v>227463.30120481929</c:v>
                </c:pt>
                <c:pt idx="6">
                  <c:v>56714.081632653055</c:v>
                </c:pt>
                <c:pt idx="7">
                  <c:v>87176.098039215707</c:v>
                </c:pt>
                <c:pt idx="8">
                  <c:v>23767.854430379746</c:v>
                </c:pt>
                <c:pt idx="9">
                  <c:v>58770.000000000007</c:v>
                </c:pt>
                <c:pt idx="10">
                  <c:v>97513</c:v>
                </c:pt>
              </c:numCache>
            </c:numRef>
          </c:yVal>
          <c:smooth val="0"/>
          <c:extLst>
            <c:ext xmlns:c16="http://schemas.microsoft.com/office/drawing/2014/chart" uri="{C3380CC4-5D6E-409C-BE32-E72D297353CC}">
              <c16:uniqueId val="{00000001-9EBE-3247-B530-72000A9612B5}"/>
            </c:ext>
          </c:extLst>
        </c:ser>
        <c:ser>
          <c:idx val="2"/>
          <c:order val="2"/>
          <c:tx>
            <c:v>Capacity</c:v>
          </c:tx>
          <c:spPr>
            <a:ln w="19050">
              <a:solidFill>
                <a:schemeClr val="accent6"/>
              </a:solidFill>
              <a:prstDash val="dash"/>
            </a:ln>
          </c:spPr>
          <c:marker>
            <c:symbol val="none"/>
          </c:marker>
          <c:xVal>
            <c:numRef>
              <c:f>'[1]Bev-Holt-Combined'!$G$16:$G$100</c:f>
              <c:numCache>
                <c:formatCode>General</c:formatCode>
                <c:ptCount val="85"/>
                <c:pt idx="0">
                  <c:v>0</c:v>
                </c:pt>
                <c:pt idx="1">
                  <c:v>50000</c:v>
                </c:pt>
                <c:pt idx="2">
                  <c:v>100000</c:v>
                </c:pt>
                <c:pt idx="3">
                  <c:v>150000</c:v>
                </c:pt>
                <c:pt idx="4">
                  <c:v>200000</c:v>
                </c:pt>
                <c:pt idx="5">
                  <c:v>250000</c:v>
                </c:pt>
                <c:pt idx="6">
                  <c:v>300000</c:v>
                </c:pt>
                <c:pt idx="7">
                  <c:v>350000</c:v>
                </c:pt>
                <c:pt idx="8">
                  <c:v>400000</c:v>
                </c:pt>
                <c:pt idx="9">
                  <c:v>450000</c:v>
                </c:pt>
                <c:pt idx="10">
                  <c:v>500000</c:v>
                </c:pt>
                <c:pt idx="11">
                  <c:v>550000</c:v>
                </c:pt>
                <c:pt idx="12">
                  <c:v>600000</c:v>
                </c:pt>
                <c:pt idx="13">
                  <c:v>650000</c:v>
                </c:pt>
                <c:pt idx="14">
                  <c:v>700000</c:v>
                </c:pt>
                <c:pt idx="15">
                  <c:v>750000</c:v>
                </c:pt>
                <c:pt idx="16">
                  <c:v>800000</c:v>
                </c:pt>
                <c:pt idx="17">
                  <c:v>850000</c:v>
                </c:pt>
                <c:pt idx="18">
                  <c:v>900000</c:v>
                </c:pt>
                <c:pt idx="19">
                  <c:v>950000</c:v>
                </c:pt>
                <c:pt idx="20">
                  <c:v>1000000</c:v>
                </c:pt>
                <c:pt idx="21">
                  <c:v>1050000</c:v>
                </c:pt>
                <c:pt idx="22">
                  <c:v>1100000</c:v>
                </c:pt>
                <c:pt idx="23">
                  <c:v>1150000</c:v>
                </c:pt>
                <c:pt idx="24">
                  <c:v>1200000</c:v>
                </c:pt>
                <c:pt idx="25">
                  <c:v>1250000</c:v>
                </c:pt>
                <c:pt idx="26">
                  <c:v>1300000</c:v>
                </c:pt>
                <c:pt idx="27">
                  <c:v>1350000</c:v>
                </c:pt>
                <c:pt idx="28">
                  <c:v>1400000</c:v>
                </c:pt>
                <c:pt idx="29">
                  <c:v>1450000</c:v>
                </c:pt>
                <c:pt idx="30">
                  <c:v>1500000</c:v>
                </c:pt>
                <c:pt idx="31">
                  <c:v>1550000</c:v>
                </c:pt>
                <c:pt idx="32">
                  <c:v>1600000</c:v>
                </c:pt>
                <c:pt idx="33">
                  <c:v>1650000</c:v>
                </c:pt>
                <c:pt idx="34">
                  <c:v>1700000</c:v>
                </c:pt>
                <c:pt idx="35">
                  <c:v>1750000</c:v>
                </c:pt>
                <c:pt idx="36">
                  <c:v>1800000</c:v>
                </c:pt>
                <c:pt idx="37">
                  <c:v>1850000</c:v>
                </c:pt>
                <c:pt idx="38">
                  <c:v>1900000</c:v>
                </c:pt>
                <c:pt idx="39">
                  <c:v>1950000</c:v>
                </c:pt>
                <c:pt idx="40">
                  <c:v>2000000</c:v>
                </c:pt>
                <c:pt idx="41">
                  <c:v>2050000</c:v>
                </c:pt>
                <c:pt idx="42">
                  <c:v>2100000</c:v>
                </c:pt>
                <c:pt idx="43">
                  <c:v>2150000</c:v>
                </c:pt>
                <c:pt idx="44">
                  <c:v>2200000</c:v>
                </c:pt>
                <c:pt idx="45">
                  <c:v>2250000</c:v>
                </c:pt>
                <c:pt idx="46">
                  <c:v>2300000</c:v>
                </c:pt>
                <c:pt idx="47">
                  <c:v>2350000</c:v>
                </c:pt>
                <c:pt idx="48">
                  <c:v>2400000</c:v>
                </c:pt>
                <c:pt idx="49">
                  <c:v>2450000</c:v>
                </c:pt>
                <c:pt idx="50">
                  <c:v>2500000</c:v>
                </c:pt>
                <c:pt idx="51">
                  <c:v>2550000</c:v>
                </c:pt>
                <c:pt idx="52">
                  <c:v>2600000</c:v>
                </c:pt>
                <c:pt idx="53">
                  <c:v>2650000</c:v>
                </c:pt>
                <c:pt idx="54">
                  <c:v>2700000</c:v>
                </c:pt>
                <c:pt idx="55">
                  <c:v>2750000</c:v>
                </c:pt>
                <c:pt idx="56">
                  <c:v>2800000</c:v>
                </c:pt>
                <c:pt idx="57">
                  <c:v>2850000</c:v>
                </c:pt>
                <c:pt idx="58">
                  <c:v>2900000</c:v>
                </c:pt>
                <c:pt idx="59">
                  <c:v>2950000</c:v>
                </c:pt>
                <c:pt idx="60">
                  <c:v>3000000</c:v>
                </c:pt>
                <c:pt idx="61">
                  <c:v>3050000</c:v>
                </c:pt>
                <c:pt idx="62">
                  <c:v>3100000</c:v>
                </c:pt>
                <c:pt idx="63">
                  <c:v>3150000</c:v>
                </c:pt>
                <c:pt idx="64">
                  <c:v>3200000</c:v>
                </c:pt>
                <c:pt idx="65">
                  <c:v>3250000</c:v>
                </c:pt>
                <c:pt idx="66">
                  <c:v>3300000</c:v>
                </c:pt>
                <c:pt idx="67">
                  <c:v>3350000</c:v>
                </c:pt>
                <c:pt idx="68">
                  <c:v>3400000</c:v>
                </c:pt>
                <c:pt idx="69">
                  <c:v>3450000</c:v>
                </c:pt>
                <c:pt idx="70">
                  <c:v>3500000</c:v>
                </c:pt>
                <c:pt idx="71">
                  <c:v>3550000</c:v>
                </c:pt>
                <c:pt idx="72">
                  <c:v>3600000</c:v>
                </c:pt>
                <c:pt idx="73">
                  <c:v>3650000</c:v>
                </c:pt>
                <c:pt idx="74">
                  <c:v>3700000</c:v>
                </c:pt>
                <c:pt idx="75">
                  <c:v>3750000</c:v>
                </c:pt>
                <c:pt idx="76">
                  <c:v>3800000</c:v>
                </c:pt>
                <c:pt idx="77">
                  <c:v>3850000</c:v>
                </c:pt>
                <c:pt idx="78">
                  <c:v>3900000</c:v>
                </c:pt>
                <c:pt idx="79">
                  <c:v>3950000</c:v>
                </c:pt>
                <c:pt idx="80">
                  <c:v>4000000</c:v>
                </c:pt>
                <c:pt idx="81">
                  <c:v>4050000</c:v>
                </c:pt>
                <c:pt idx="82">
                  <c:v>4100000</c:v>
                </c:pt>
                <c:pt idx="83">
                  <c:v>4150000</c:v>
                </c:pt>
                <c:pt idx="84">
                  <c:v>4200000</c:v>
                </c:pt>
              </c:numCache>
            </c:numRef>
          </c:xVal>
          <c:yVal>
            <c:numRef>
              <c:f>'[1]Bev-Holt-Combined'!$I$16:$I$100</c:f>
              <c:numCache>
                <c:formatCode>General</c:formatCode>
                <c:ptCount val="85"/>
                <c:pt idx="0">
                  <c:v>108086.71860770251</c:v>
                </c:pt>
                <c:pt idx="1">
                  <c:v>108086.71860770251</c:v>
                </c:pt>
                <c:pt idx="2">
                  <c:v>108086.71860770251</c:v>
                </c:pt>
                <c:pt idx="3">
                  <c:v>108086.71860770251</c:v>
                </c:pt>
                <c:pt idx="4">
                  <c:v>108086.71860770251</c:v>
                </c:pt>
                <c:pt idx="5">
                  <c:v>108086.71860770251</c:v>
                </c:pt>
                <c:pt idx="6">
                  <c:v>108086.71860770251</c:v>
                </c:pt>
                <c:pt idx="7">
                  <c:v>108086.71860770251</c:v>
                </c:pt>
                <c:pt idx="8">
                  <c:v>108086.71860770251</c:v>
                </c:pt>
                <c:pt idx="9">
                  <c:v>108086.71860770251</c:v>
                </c:pt>
                <c:pt idx="10">
                  <c:v>108086.71860770251</c:v>
                </c:pt>
                <c:pt idx="11">
                  <c:v>108086.71860770251</c:v>
                </c:pt>
                <c:pt idx="12">
                  <c:v>108086.71860770251</c:v>
                </c:pt>
                <c:pt idx="13">
                  <c:v>108086.71860770251</c:v>
                </c:pt>
                <c:pt idx="14">
                  <c:v>108086.71860770251</c:v>
                </c:pt>
                <c:pt idx="15">
                  <c:v>108086.71860770251</c:v>
                </c:pt>
                <c:pt idx="16">
                  <c:v>108086.71860770251</c:v>
                </c:pt>
                <c:pt idx="17">
                  <c:v>108086.71860770251</c:v>
                </c:pt>
                <c:pt idx="18">
                  <c:v>108086.71860770251</c:v>
                </c:pt>
                <c:pt idx="19">
                  <c:v>108086.71860770251</c:v>
                </c:pt>
                <c:pt idx="20">
                  <c:v>108086.71860770251</c:v>
                </c:pt>
                <c:pt idx="21">
                  <c:v>108086.71860770251</c:v>
                </c:pt>
                <c:pt idx="22">
                  <c:v>108086.71860770251</c:v>
                </c:pt>
                <c:pt idx="23">
                  <c:v>108086.71860770251</c:v>
                </c:pt>
                <c:pt idx="24">
                  <c:v>108086.71860770251</c:v>
                </c:pt>
                <c:pt idx="25">
                  <c:v>108086.71860770251</c:v>
                </c:pt>
                <c:pt idx="26">
                  <c:v>108086.71860770251</c:v>
                </c:pt>
                <c:pt idx="27">
                  <c:v>108086.71860770251</c:v>
                </c:pt>
                <c:pt idx="28">
                  <c:v>108086.71860770251</c:v>
                </c:pt>
                <c:pt idx="29">
                  <c:v>108086.71860770251</c:v>
                </c:pt>
                <c:pt idx="30">
                  <c:v>108086.71860770251</c:v>
                </c:pt>
                <c:pt idx="31">
                  <c:v>108086.71860770251</c:v>
                </c:pt>
                <c:pt idx="32">
                  <c:v>108086.71860770251</c:v>
                </c:pt>
                <c:pt idx="33">
                  <c:v>108086.71860770251</c:v>
                </c:pt>
                <c:pt idx="34">
                  <c:v>108086.71860770251</c:v>
                </c:pt>
                <c:pt idx="35">
                  <c:v>108086.71860770251</c:v>
                </c:pt>
                <c:pt idx="36">
                  <c:v>108086.71860770251</c:v>
                </c:pt>
                <c:pt idx="37">
                  <c:v>108086.71860770251</c:v>
                </c:pt>
                <c:pt idx="38">
                  <c:v>108086.71860770251</c:v>
                </c:pt>
                <c:pt idx="39">
                  <c:v>108086.71860770251</c:v>
                </c:pt>
                <c:pt idx="40">
                  <c:v>108086.71860770251</c:v>
                </c:pt>
                <c:pt idx="41">
                  <c:v>108086.71860770251</c:v>
                </c:pt>
                <c:pt idx="42">
                  <c:v>108086.71860770251</c:v>
                </c:pt>
                <c:pt idx="43">
                  <c:v>108086.71860770251</c:v>
                </c:pt>
                <c:pt idx="44">
                  <c:v>108086.71860770251</c:v>
                </c:pt>
                <c:pt idx="45">
                  <c:v>108086.71860770251</c:v>
                </c:pt>
                <c:pt idx="46">
                  <c:v>108086.71860770251</c:v>
                </c:pt>
                <c:pt idx="47">
                  <c:v>108086.71860770251</c:v>
                </c:pt>
                <c:pt idx="48">
                  <c:v>108086.71860770251</c:v>
                </c:pt>
                <c:pt idx="49">
                  <c:v>108086.71860770251</c:v>
                </c:pt>
                <c:pt idx="50">
                  <c:v>108086.71860770251</c:v>
                </c:pt>
                <c:pt idx="51">
                  <c:v>108086.71860770251</c:v>
                </c:pt>
                <c:pt idx="52">
                  <c:v>108086.71860770251</c:v>
                </c:pt>
                <c:pt idx="53">
                  <c:v>108086.71860770251</c:v>
                </c:pt>
                <c:pt idx="54">
                  <c:v>108086.71860770251</c:v>
                </c:pt>
                <c:pt idx="55">
                  <c:v>108086.71860770251</c:v>
                </c:pt>
                <c:pt idx="56">
                  <c:v>108086.71860770251</c:v>
                </c:pt>
                <c:pt idx="57">
                  <c:v>108086.71860770251</c:v>
                </c:pt>
                <c:pt idx="58">
                  <c:v>108086.71860770251</c:v>
                </c:pt>
                <c:pt idx="59">
                  <c:v>108086.71860770251</c:v>
                </c:pt>
                <c:pt idx="60">
                  <c:v>108086.71860770251</c:v>
                </c:pt>
                <c:pt idx="61">
                  <c:v>108086.71860770251</c:v>
                </c:pt>
                <c:pt idx="62">
                  <c:v>108086.71860770251</c:v>
                </c:pt>
                <c:pt idx="63">
                  <c:v>108086.71860770251</c:v>
                </c:pt>
                <c:pt idx="64">
                  <c:v>108086.71860770251</c:v>
                </c:pt>
                <c:pt idx="65">
                  <c:v>108086.71860770251</c:v>
                </c:pt>
                <c:pt idx="66">
                  <c:v>108086.71860770251</c:v>
                </c:pt>
                <c:pt idx="67">
                  <c:v>108086.71860770251</c:v>
                </c:pt>
                <c:pt idx="68">
                  <c:v>108086.71860770251</c:v>
                </c:pt>
                <c:pt idx="69">
                  <c:v>108086.71860770251</c:v>
                </c:pt>
                <c:pt idx="70">
                  <c:v>108086.71860770251</c:v>
                </c:pt>
                <c:pt idx="71">
                  <c:v>108086.71860770251</c:v>
                </c:pt>
                <c:pt idx="72">
                  <c:v>108086.71860770251</c:v>
                </c:pt>
                <c:pt idx="73">
                  <c:v>108086.71860770251</c:v>
                </c:pt>
                <c:pt idx="74">
                  <c:v>108086.71860770251</c:v>
                </c:pt>
                <c:pt idx="75">
                  <c:v>108086.71860770251</c:v>
                </c:pt>
                <c:pt idx="76">
                  <c:v>108086.71860770251</c:v>
                </c:pt>
                <c:pt idx="77">
                  <c:v>108086.71860770251</c:v>
                </c:pt>
                <c:pt idx="78">
                  <c:v>108086.71860770251</c:v>
                </c:pt>
                <c:pt idx="79">
                  <c:v>108086.71860770251</c:v>
                </c:pt>
                <c:pt idx="80">
                  <c:v>108086.71860770251</c:v>
                </c:pt>
                <c:pt idx="81">
                  <c:v>108086.71860770251</c:v>
                </c:pt>
                <c:pt idx="82">
                  <c:v>108086.71860770251</c:v>
                </c:pt>
                <c:pt idx="83">
                  <c:v>108086.71860770251</c:v>
                </c:pt>
                <c:pt idx="84">
                  <c:v>108086.71860770251</c:v>
                </c:pt>
              </c:numCache>
            </c:numRef>
          </c:yVal>
          <c:smooth val="0"/>
          <c:extLst>
            <c:ext xmlns:c16="http://schemas.microsoft.com/office/drawing/2014/chart" uri="{C3380CC4-5D6E-409C-BE32-E72D297353CC}">
              <c16:uniqueId val="{00000002-9EBE-3247-B530-72000A9612B5}"/>
            </c:ext>
          </c:extLst>
        </c:ser>
        <c:dLbls>
          <c:showLegendKey val="0"/>
          <c:showVal val="0"/>
          <c:showCatName val="0"/>
          <c:showSerName val="0"/>
          <c:showPercent val="0"/>
          <c:showBubbleSize val="0"/>
        </c:dLbls>
        <c:axId val="266624384"/>
        <c:axId val="266626560"/>
      </c:scatterChart>
      <c:valAx>
        <c:axId val="266624384"/>
        <c:scaling>
          <c:orientation val="minMax"/>
          <c:max val="4200000"/>
          <c:min val="0"/>
        </c:scaling>
        <c:delete val="0"/>
        <c:axPos val="b"/>
        <c:title>
          <c:tx>
            <c:rich>
              <a:bodyPr/>
              <a:lstStyle/>
              <a:p>
                <a:pPr>
                  <a:defRPr/>
                </a:pPr>
                <a:r>
                  <a:rPr lang="en-US"/>
                  <a:t>Eggs</a:t>
                </a:r>
              </a:p>
            </c:rich>
          </c:tx>
          <c:overlay val="0"/>
        </c:title>
        <c:numFmt formatCode="General" sourceLinked="1"/>
        <c:majorTickMark val="out"/>
        <c:minorTickMark val="none"/>
        <c:tickLblPos val="nextTo"/>
        <c:crossAx val="266626560"/>
        <c:crosses val="autoZero"/>
        <c:crossBetween val="midCat"/>
      </c:valAx>
      <c:valAx>
        <c:axId val="266626560"/>
        <c:scaling>
          <c:orientation val="minMax"/>
        </c:scaling>
        <c:delete val="0"/>
        <c:axPos val="l"/>
        <c:majorGridlines/>
        <c:title>
          <c:tx>
            <c:rich>
              <a:bodyPr rot="-5400000" vert="horz"/>
              <a:lstStyle/>
              <a:p>
                <a:pPr>
                  <a:defRPr/>
                </a:pPr>
                <a:r>
                  <a:rPr lang="en-US"/>
                  <a:t>Chinook</a:t>
                </a:r>
                <a:r>
                  <a:rPr lang="en-US" baseline="0"/>
                  <a:t> summer </a:t>
                </a:r>
                <a:r>
                  <a:rPr lang="en-US"/>
                  <a:t>parr abundance</a:t>
                </a:r>
              </a:p>
            </c:rich>
          </c:tx>
          <c:layout>
            <c:manualLayout>
              <c:xMode val="edge"/>
              <c:yMode val="edge"/>
              <c:x val="2.0280399996513845E-2"/>
              <c:y val="0.31863556059762421"/>
            </c:manualLayout>
          </c:layout>
          <c:overlay val="0"/>
        </c:title>
        <c:numFmt formatCode="General" sourceLinked="1"/>
        <c:majorTickMark val="out"/>
        <c:minorTickMark val="none"/>
        <c:tickLblPos val="nextTo"/>
        <c:crossAx val="266624384"/>
        <c:crosses val="autoZero"/>
        <c:crossBetween val="midCat"/>
      </c:valAx>
    </c:plotArea>
    <c:plotVisOnly val="1"/>
    <c:dispBlanksAs val="gap"/>
    <c:showDLblsOverMax val="0"/>
  </c:chart>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1"/>
          <c:order val="1"/>
          <c:tx>
            <c:v>Predicted</c:v>
          </c:tx>
          <c:spPr>
            <a:ln w="19050">
              <a:solidFill>
                <a:srgbClr val="C00000"/>
              </a:solidFill>
            </a:ln>
          </c:spPr>
          <c:marker>
            <c:symbol val="none"/>
          </c:marker>
          <c:xVal>
            <c:numRef>
              <c:f>'[1]Bev-Holt_CC'!$H$9:$H$93</c:f>
              <c:numCache>
                <c:formatCode>General</c:formatCode>
                <c:ptCount val="85"/>
                <c:pt idx="0">
                  <c:v>0</c:v>
                </c:pt>
                <c:pt idx="1">
                  <c:v>50000</c:v>
                </c:pt>
                <c:pt idx="2">
                  <c:v>100000</c:v>
                </c:pt>
                <c:pt idx="3">
                  <c:v>150000</c:v>
                </c:pt>
                <c:pt idx="4">
                  <c:v>200000</c:v>
                </c:pt>
                <c:pt idx="5">
                  <c:v>250000</c:v>
                </c:pt>
                <c:pt idx="6">
                  <c:v>300000</c:v>
                </c:pt>
                <c:pt idx="7">
                  <c:v>350000</c:v>
                </c:pt>
                <c:pt idx="8">
                  <c:v>400000</c:v>
                </c:pt>
                <c:pt idx="9">
                  <c:v>450000</c:v>
                </c:pt>
                <c:pt idx="10">
                  <c:v>500000</c:v>
                </c:pt>
                <c:pt idx="11">
                  <c:v>550000</c:v>
                </c:pt>
                <c:pt idx="12">
                  <c:v>600000</c:v>
                </c:pt>
                <c:pt idx="13">
                  <c:v>650000</c:v>
                </c:pt>
                <c:pt idx="14">
                  <c:v>700000</c:v>
                </c:pt>
                <c:pt idx="15">
                  <c:v>750000</c:v>
                </c:pt>
                <c:pt idx="16">
                  <c:v>800000</c:v>
                </c:pt>
                <c:pt idx="17">
                  <c:v>850000</c:v>
                </c:pt>
                <c:pt idx="18">
                  <c:v>900000</c:v>
                </c:pt>
                <c:pt idx="19">
                  <c:v>950000</c:v>
                </c:pt>
                <c:pt idx="20">
                  <c:v>1000000</c:v>
                </c:pt>
                <c:pt idx="21">
                  <c:v>1050000</c:v>
                </c:pt>
                <c:pt idx="22">
                  <c:v>1100000</c:v>
                </c:pt>
                <c:pt idx="23">
                  <c:v>1150000</c:v>
                </c:pt>
                <c:pt idx="24">
                  <c:v>1200000</c:v>
                </c:pt>
                <c:pt idx="25">
                  <c:v>1250000</c:v>
                </c:pt>
                <c:pt idx="26">
                  <c:v>1300000</c:v>
                </c:pt>
                <c:pt idx="27">
                  <c:v>1350000</c:v>
                </c:pt>
                <c:pt idx="28">
                  <c:v>1400000</c:v>
                </c:pt>
                <c:pt idx="29">
                  <c:v>1450000</c:v>
                </c:pt>
                <c:pt idx="30">
                  <c:v>1500000</c:v>
                </c:pt>
                <c:pt idx="31">
                  <c:v>1550000</c:v>
                </c:pt>
                <c:pt idx="32">
                  <c:v>1600000</c:v>
                </c:pt>
                <c:pt idx="33">
                  <c:v>1650000</c:v>
                </c:pt>
                <c:pt idx="34">
                  <c:v>1700000</c:v>
                </c:pt>
                <c:pt idx="35">
                  <c:v>1750000</c:v>
                </c:pt>
                <c:pt idx="36">
                  <c:v>1800000</c:v>
                </c:pt>
                <c:pt idx="37">
                  <c:v>1850000</c:v>
                </c:pt>
                <c:pt idx="38">
                  <c:v>1900000</c:v>
                </c:pt>
                <c:pt idx="39">
                  <c:v>1950000</c:v>
                </c:pt>
                <c:pt idx="40">
                  <c:v>2000000</c:v>
                </c:pt>
                <c:pt idx="41">
                  <c:v>2050000</c:v>
                </c:pt>
                <c:pt idx="42">
                  <c:v>2100000</c:v>
                </c:pt>
                <c:pt idx="43">
                  <c:v>2150000</c:v>
                </c:pt>
                <c:pt idx="44">
                  <c:v>2200000</c:v>
                </c:pt>
                <c:pt idx="45">
                  <c:v>2250000</c:v>
                </c:pt>
                <c:pt idx="46">
                  <c:v>2300000</c:v>
                </c:pt>
                <c:pt idx="47">
                  <c:v>2350000</c:v>
                </c:pt>
                <c:pt idx="48">
                  <c:v>2400000</c:v>
                </c:pt>
                <c:pt idx="49">
                  <c:v>2450000</c:v>
                </c:pt>
                <c:pt idx="50">
                  <c:v>2500000</c:v>
                </c:pt>
                <c:pt idx="51">
                  <c:v>2550000</c:v>
                </c:pt>
                <c:pt idx="52">
                  <c:v>2600000</c:v>
                </c:pt>
                <c:pt idx="53">
                  <c:v>2650000</c:v>
                </c:pt>
                <c:pt idx="54">
                  <c:v>2700000</c:v>
                </c:pt>
                <c:pt idx="55">
                  <c:v>2750000</c:v>
                </c:pt>
                <c:pt idx="56">
                  <c:v>2800000</c:v>
                </c:pt>
                <c:pt idx="57">
                  <c:v>2850000</c:v>
                </c:pt>
                <c:pt idx="58">
                  <c:v>2900000</c:v>
                </c:pt>
                <c:pt idx="59">
                  <c:v>2950000</c:v>
                </c:pt>
                <c:pt idx="60">
                  <c:v>3000000</c:v>
                </c:pt>
                <c:pt idx="61">
                  <c:v>3050000</c:v>
                </c:pt>
                <c:pt idx="62">
                  <c:v>3100000</c:v>
                </c:pt>
                <c:pt idx="63">
                  <c:v>3150000</c:v>
                </c:pt>
                <c:pt idx="64">
                  <c:v>3200000</c:v>
                </c:pt>
                <c:pt idx="65">
                  <c:v>3250000</c:v>
                </c:pt>
                <c:pt idx="66">
                  <c:v>3300000</c:v>
                </c:pt>
                <c:pt idx="67">
                  <c:v>3350000</c:v>
                </c:pt>
                <c:pt idx="68">
                  <c:v>3400000</c:v>
                </c:pt>
                <c:pt idx="69">
                  <c:v>3450000</c:v>
                </c:pt>
                <c:pt idx="70">
                  <c:v>3500000</c:v>
                </c:pt>
                <c:pt idx="71">
                  <c:v>3550000</c:v>
                </c:pt>
                <c:pt idx="72">
                  <c:v>3600000</c:v>
                </c:pt>
                <c:pt idx="73">
                  <c:v>3650000</c:v>
                </c:pt>
                <c:pt idx="74">
                  <c:v>3700000</c:v>
                </c:pt>
                <c:pt idx="75">
                  <c:v>3750000</c:v>
                </c:pt>
                <c:pt idx="76">
                  <c:v>3800000</c:v>
                </c:pt>
                <c:pt idx="77">
                  <c:v>3850000</c:v>
                </c:pt>
                <c:pt idx="78">
                  <c:v>3900000</c:v>
                </c:pt>
                <c:pt idx="79">
                  <c:v>3950000</c:v>
                </c:pt>
                <c:pt idx="80">
                  <c:v>4000000</c:v>
                </c:pt>
                <c:pt idx="81">
                  <c:v>4050000</c:v>
                </c:pt>
                <c:pt idx="82">
                  <c:v>4100000</c:v>
                </c:pt>
                <c:pt idx="83">
                  <c:v>4150000</c:v>
                </c:pt>
                <c:pt idx="84">
                  <c:v>4200000</c:v>
                </c:pt>
              </c:numCache>
            </c:numRef>
          </c:xVal>
          <c:yVal>
            <c:numRef>
              <c:f>'[1]Bev-Holt_CC'!$I$9:$I$93</c:f>
              <c:numCache>
                <c:formatCode>General</c:formatCode>
                <c:ptCount val="85"/>
                <c:pt idx="0">
                  <c:v>0</c:v>
                </c:pt>
                <c:pt idx="1">
                  <c:v>13821.722551561636</c:v>
                </c:pt>
                <c:pt idx="2">
                  <c:v>24604.26735948044</c:v>
                </c:pt>
                <c:pt idx="3">
                  <c:v>33250.745093621532</c:v>
                </c:pt>
                <c:pt idx="4">
                  <c:v>40338.69497750431</c:v>
                </c:pt>
                <c:pt idx="5">
                  <c:v>46254.666284571111</c:v>
                </c:pt>
                <c:pt idx="6">
                  <c:v>51267.139208698485</c:v>
                </c:pt>
                <c:pt idx="7">
                  <c:v>55568.406108233918</c:v>
                </c:pt>
                <c:pt idx="8">
                  <c:v>59299.806454360332</c:v>
                </c:pt>
                <c:pt idx="9">
                  <c:v>62567.554937741479</c:v>
                </c:pt>
                <c:pt idx="10">
                  <c:v>65453.014456219316</c:v>
                </c:pt>
                <c:pt idx="11">
                  <c:v>68019.562882771061</c:v>
                </c:pt>
                <c:pt idx="12">
                  <c:v>70317.302247700194</c:v>
                </c:pt>
                <c:pt idx="13">
                  <c:v>72386.361893918904</c:v>
                </c:pt>
                <c:pt idx="14">
                  <c:v>74259.262154853423</c:v>
                </c:pt>
                <c:pt idx="15">
                  <c:v>75962.636184919626</c:v>
                </c:pt>
                <c:pt idx="16">
                  <c:v>77518.504478012939</c:v>
                </c:pt>
                <c:pt idx="17">
                  <c:v>78945.232021848322</c:v>
                </c:pt>
                <c:pt idx="18">
                  <c:v>80258.25661125053</c:v>
                </c:pt>
                <c:pt idx="19">
                  <c:v>81470.649705504868</c:v>
                </c:pt>
                <c:pt idx="20">
                  <c:v>82593.553090936868</c:v>
                </c:pt>
                <c:pt idx="21">
                  <c:v>83636.522291656205</c:v>
                </c:pt>
                <c:pt idx="22">
                  <c:v>84607.799163494259</c:v>
                </c:pt>
                <c:pt idx="23">
                  <c:v>85514.530142513802</c:v>
                </c:pt>
                <c:pt idx="24">
                  <c:v>86362.942381872504</c:v>
                </c:pt>
                <c:pt idx="25">
                  <c:v>87158.486961496295</c:v>
                </c:pt>
                <c:pt idx="26">
                  <c:v>87905.956134921202</c:v>
                </c:pt>
                <c:pt idx="27">
                  <c:v>88609.579943590143</c:v>
                </c:pt>
                <c:pt idx="28">
                  <c:v>89273.106313860975</c:v>
                </c:pt>
                <c:pt idx="29">
                  <c:v>89899.867839906132</c:v>
                </c:pt>
                <c:pt idx="30">
                  <c:v>90492.837764891039</c:v>
                </c:pt>
                <c:pt idx="31">
                  <c:v>91054.677145223541</c:v>
                </c:pt>
                <c:pt idx="32">
                  <c:v>91587.774776526232</c:v>
                </c:pt>
                <c:pt idx="33">
                  <c:v>92094.281145007059</c:v>
                </c:pt>
                <c:pt idx="34">
                  <c:v>92576.137421906751</c:v>
                </c:pt>
                <c:pt idx="35">
                  <c:v>93035.100325298568</c:v>
                </c:pt>
                <c:pt idx="36">
                  <c:v>93472.763520503388</c:v>
                </c:pt>
                <c:pt idx="37">
                  <c:v>93890.576108599547</c:v>
                </c:pt>
                <c:pt idx="38">
                  <c:v>94289.858655029457</c:v>
                </c:pt>
                <c:pt idx="39">
                  <c:v>94671.817131858756</c:v>
                </c:pt>
                <c:pt idx="40">
                  <c:v>95037.555083789324</c:v>
                </c:pt>
                <c:pt idx="41">
                  <c:v>95388.084276446709</c:v>
                </c:pt>
                <c:pt idx="42">
                  <c:v>95724.334043336916</c:v>
                </c:pt>
                <c:pt idx="43">
                  <c:v>96047.159513311301</c:v>
                </c:pt>
                <c:pt idx="44">
                  <c:v>96357.348871907161</c:v>
                </c:pt>
                <c:pt idx="45">
                  <c:v>96655.629786380552</c:v>
                </c:pt>
                <c:pt idx="46">
                  <c:v>96942.675104687703</c:v>
                </c:pt>
                <c:pt idx="47">
                  <c:v>97219.10792236666</c:v>
                </c:pt>
                <c:pt idx="48">
                  <c:v>97485.506097628269</c:v>
                </c:pt>
                <c:pt idx="49">
                  <c:v>97742.40628351261</c:v>
                </c:pt>
                <c:pt idx="50">
                  <c:v>97990.307536319408</c:v>
                </c:pt>
                <c:pt idx="51">
                  <c:v>98229.674551367396</c:v>
                </c:pt>
                <c:pt idx="52">
                  <c:v>98460.940570226288</c:v>
                </c:pt>
                <c:pt idx="53">
                  <c:v>98684.509997688598</c:v>
                </c:pt>
                <c:pt idx="54">
                  <c:v>98900.760761737329</c:v>
                </c:pt>
                <c:pt idx="55">
                  <c:v>99110.046445482047</c:v>
                </c:pt>
                <c:pt idx="56">
                  <c:v>99312.698216361037</c:v>
                </c:pt>
                <c:pt idx="57">
                  <c:v>99509.026574750998</c:v>
                </c:pt>
                <c:pt idx="58">
                  <c:v>99699.322941403909</c:v>
                </c:pt>
                <c:pt idx="59">
                  <c:v>99883.861100780152</c:v>
                </c:pt>
                <c:pt idx="60">
                  <c:v>100062.89851531267</c:v>
                </c:pt>
                <c:pt idx="61">
                  <c:v>100236.67752386934</c:v>
                </c:pt>
                <c:pt idx="62">
                  <c:v>100405.42643614548</c:v>
                </c:pt>
                <c:pt idx="63">
                  <c:v>100569.36053337976</c:v>
                </c:pt>
                <c:pt idx="64">
                  <c:v>100728.68298461597</c:v>
                </c:pt>
                <c:pt idx="65">
                  <c:v>100883.58568671119</c:v>
                </c:pt>
                <c:pt idx="66">
                  <c:v>101034.2500353926</c:v>
                </c:pt>
                <c:pt idx="67">
                  <c:v>101180.8476338769</c:v>
                </c:pt>
                <c:pt idx="68">
                  <c:v>101323.54094487232</c:v>
                </c:pt>
                <c:pt idx="69">
                  <c:v>101462.48389117165</c:v>
                </c:pt>
                <c:pt idx="70">
                  <c:v>101597.8224095039</c:v>
                </c:pt>
                <c:pt idx="71">
                  <c:v>101729.69496183401</c:v>
                </c:pt>
                <c:pt idx="72">
                  <c:v>101858.23300787696</c:v>
                </c:pt>
                <c:pt idx="73">
                  <c:v>101983.56144221533</c:v>
                </c:pt>
                <c:pt idx="74">
                  <c:v>102105.79899907633</c:v>
                </c:pt>
                <c:pt idx="75">
                  <c:v>102225.05862752521</c:v>
                </c:pt>
                <c:pt idx="76">
                  <c:v>102341.44783956769</c:v>
                </c:pt>
                <c:pt idx="77">
                  <c:v>102455.06903341618</c:v>
                </c:pt>
                <c:pt idx="78">
                  <c:v>102566.01979396283</c:v>
                </c:pt>
                <c:pt idx="79">
                  <c:v>102674.39317231267</c:v>
                </c:pt>
                <c:pt idx="80">
                  <c:v>102780.27794605984</c:v>
                </c:pt>
                <c:pt idx="81">
                  <c:v>102883.75886183689</c:v>
                </c:pt>
                <c:pt idx="82">
                  <c:v>102984.91686153006</c:v>
                </c:pt>
                <c:pt idx="83">
                  <c:v>103083.82929342956</c:v>
                </c:pt>
                <c:pt idx="84">
                  <c:v>103180.57010947249</c:v>
                </c:pt>
              </c:numCache>
            </c:numRef>
          </c:yVal>
          <c:smooth val="1"/>
          <c:extLst>
            <c:ext xmlns:c16="http://schemas.microsoft.com/office/drawing/2014/chart" uri="{C3380CC4-5D6E-409C-BE32-E72D297353CC}">
              <c16:uniqueId val="{00000000-BD40-6D4E-BB68-2EA9F59BD7AF}"/>
            </c:ext>
          </c:extLst>
        </c:ser>
        <c:dLbls>
          <c:showLegendKey val="0"/>
          <c:showVal val="0"/>
          <c:showCatName val="0"/>
          <c:showSerName val="0"/>
          <c:showPercent val="0"/>
          <c:showBubbleSize val="0"/>
        </c:dLbls>
        <c:axId val="266624384"/>
        <c:axId val="266626560"/>
      </c:scatterChart>
      <c:scatterChart>
        <c:scatterStyle val="lineMarker"/>
        <c:varyColors val="0"/>
        <c:ser>
          <c:idx val="0"/>
          <c:order val="0"/>
          <c:spPr>
            <a:ln w="19050">
              <a:noFill/>
            </a:ln>
          </c:spPr>
          <c:xVal>
            <c:numRef>
              <c:f>Fry_Parr_p!$X$16:$X$37</c:f>
              <c:numCache>
                <c:formatCode>General</c:formatCode>
                <c:ptCount val="22"/>
                <c:pt idx="0">
                  <c:v>492283.5</c:v>
                </c:pt>
                <c:pt idx="1">
                  <c:v>53634</c:v>
                </c:pt>
                <c:pt idx="2">
                  <c:v>65127</c:v>
                </c:pt>
                <c:pt idx="3">
                  <c:v>65127</c:v>
                </c:pt>
                <c:pt idx="4">
                  <c:v>137916</c:v>
                </c:pt>
                <c:pt idx="5">
                  <c:v>174310.5</c:v>
                </c:pt>
                <c:pt idx="6">
                  <c:v>155155.5</c:v>
                </c:pt>
                <c:pt idx="7">
                  <c:v>93859.5</c:v>
                </c:pt>
                <c:pt idx="8">
                  <c:v>683833.5</c:v>
                </c:pt>
                <c:pt idx="9">
                  <c:v>762369</c:v>
                </c:pt>
                <c:pt idx="10">
                  <c:v>766200</c:v>
                </c:pt>
                <c:pt idx="11">
                  <c:v>390762</c:v>
                </c:pt>
                <c:pt idx="12">
                  <c:v>256677</c:v>
                </c:pt>
                <c:pt idx="13">
                  <c:v>459720</c:v>
                </c:pt>
                <c:pt idx="14">
                  <c:v>312226.5</c:v>
                </c:pt>
                <c:pt idx="15">
                  <c:v>385015.5</c:v>
                </c:pt>
                <c:pt idx="16">
                  <c:v>367776</c:v>
                </c:pt>
                <c:pt idx="17">
                  <c:v>1750767</c:v>
                </c:pt>
                <c:pt idx="18">
                  <c:v>2130036</c:v>
                </c:pt>
                <c:pt idx="19">
                  <c:v>1233582</c:v>
                </c:pt>
                <c:pt idx="20">
                  <c:v>1890598.5</c:v>
                </c:pt>
                <c:pt idx="21">
                  <c:v>919440</c:v>
                </c:pt>
              </c:numCache>
            </c:numRef>
          </c:xVal>
          <c:yVal>
            <c:numRef>
              <c:f>Fry_Parr_p!$Y$16:$Y$37</c:f>
              <c:numCache>
                <c:formatCode>General</c:formatCode>
                <c:ptCount val="22"/>
                <c:pt idx="0">
                  <c:v>42333.831168831166</c:v>
                </c:pt>
                <c:pt idx="1">
                  <c:v>10436.758122743682</c:v>
                </c:pt>
                <c:pt idx="2">
                  <c:v>9324.738636363636</c:v>
                </c:pt>
                <c:pt idx="3">
                  <c:v>14878.175355450237</c:v>
                </c:pt>
                <c:pt idx="4">
                  <c:v>38203.859872611465</c:v>
                </c:pt>
                <c:pt idx="5">
                  <c:v>40393.192052980135</c:v>
                </c:pt>
                <c:pt idx="6">
                  <c:v>41091.034482758623</c:v>
                </c:pt>
                <c:pt idx="7">
                  <c:v>40463.440366972471</c:v>
                </c:pt>
                <c:pt idx="8">
                  <c:v>71272.800000000003</c:v>
                </c:pt>
                <c:pt idx="9">
                  <c:v>153077.94444444447</c:v>
                </c:pt>
                <c:pt idx="10">
                  <c:v>151046.92982456138</c:v>
                </c:pt>
                <c:pt idx="11">
                  <c:v>57927.491228070168</c:v>
                </c:pt>
                <c:pt idx="12">
                  <c:v>74225.190476190488</c:v>
                </c:pt>
                <c:pt idx="13">
                  <c:v>66042.824999999997</c:v>
                </c:pt>
                <c:pt idx="14">
                  <c:v>46474.068027210888</c:v>
                </c:pt>
                <c:pt idx="15">
                  <c:v>103336.14953271029</c:v>
                </c:pt>
                <c:pt idx="16">
                  <c:v>24731.671875</c:v>
                </c:pt>
                <c:pt idx="17">
                  <c:v>116382.18965517241</c:v>
                </c:pt>
                <c:pt idx="18">
                  <c:v>77210.450980392168</c:v>
                </c:pt>
                <c:pt idx="19">
                  <c:v>75419.434782608689</c:v>
                </c:pt>
                <c:pt idx="20">
                  <c:v>65947</c:v>
                </c:pt>
                <c:pt idx="21">
                  <c:v>52011</c:v>
                </c:pt>
              </c:numCache>
            </c:numRef>
          </c:yVal>
          <c:smooth val="0"/>
          <c:extLst>
            <c:ext xmlns:c16="http://schemas.microsoft.com/office/drawing/2014/chart" uri="{C3380CC4-5D6E-409C-BE32-E72D297353CC}">
              <c16:uniqueId val="{00000001-BD40-6D4E-BB68-2EA9F59BD7AF}"/>
            </c:ext>
          </c:extLst>
        </c:ser>
        <c:ser>
          <c:idx val="2"/>
          <c:order val="2"/>
          <c:tx>
            <c:v>Capacity</c:v>
          </c:tx>
          <c:spPr>
            <a:ln w="19050">
              <a:solidFill>
                <a:schemeClr val="accent1"/>
              </a:solidFill>
              <a:prstDash val="dash"/>
            </a:ln>
          </c:spPr>
          <c:marker>
            <c:symbol val="none"/>
          </c:marker>
          <c:xVal>
            <c:numRef>
              <c:f>Fry_Parr_p!$AC$16:$AC$100</c:f>
              <c:numCache>
                <c:formatCode>General</c:formatCode>
                <c:ptCount val="85"/>
                <c:pt idx="0">
                  <c:v>0</c:v>
                </c:pt>
                <c:pt idx="1">
                  <c:v>50000</c:v>
                </c:pt>
                <c:pt idx="2">
                  <c:v>100000</c:v>
                </c:pt>
                <c:pt idx="3">
                  <c:v>150000</c:v>
                </c:pt>
                <c:pt idx="4">
                  <c:v>200000</c:v>
                </c:pt>
                <c:pt idx="5">
                  <c:v>250000</c:v>
                </c:pt>
                <c:pt idx="6">
                  <c:v>300000</c:v>
                </c:pt>
                <c:pt idx="7">
                  <c:v>350000</c:v>
                </c:pt>
                <c:pt idx="8">
                  <c:v>400000</c:v>
                </c:pt>
                <c:pt idx="9">
                  <c:v>450000</c:v>
                </c:pt>
                <c:pt idx="10">
                  <c:v>500000</c:v>
                </c:pt>
                <c:pt idx="11">
                  <c:v>550000</c:v>
                </c:pt>
                <c:pt idx="12">
                  <c:v>600000</c:v>
                </c:pt>
                <c:pt idx="13">
                  <c:v>650000</c:v>
                </c:pt>
                <c:pt idx="14">
                  <c:v>700000</c:v>
                </c:pt>
                <c:pt idx="15">
                  <c:v>750000</c:v>
                </c:pt>
                <c:pt idx="16">
                  <c:v>800000</c:v>
                </c:pt>
                <c:pt idx="17">
                  <c:v>850000</c:v>
                </c:pt>
                <c:pt idx="18">
                  <c:v>900000</c:v>
                </c:pt>
                <c:pt idx="19">
                  <c:v>950000</c:v>
                </c:pt>
                <c:pt idx="20">
                  <c:v>1000000</c:v>
                </c:pt>
                <c:pt idx="21">
                  <c:v>1050000</c:v>
                </c:pt>
                <c:pt idx="22">
                  <c:v>1100000</c:v>
                </c:pt>
                <c:pt idx="23">
                  <c:v>1150000</c:v>
                </c:pt>
                <c:pt idx="24">
                  <c:v>1200000</c:v>
                </c:pt>
                <c:pt idx="25">
                  <c:v>1250000</c:v>
                </c:pt>
                <c:pt idx="26">
                  <c:v>1300000</c:v>
                </c:pt>
                <c:pt idx="27">
                  <c:v>1350000</c:v>
                </c:pt>
                <c:pt idx="28">
                  <c:v>1400000</c:v>
                </c:pt>
                <c:pt idx="29">
                  <c:v>1450000</c:v>
                </c:pt>
                <c:pt idx="30">
                  <c:v>1500000</c:v>
                </c:pt>
                <c:pt idx="31">
                  <c:v>1550000</c:v>
                </c:pt>
                <c:pt idx="32">
                  <c:v>1600000</c:v>
                </c:pt>
                <c:pt idx="33">
                  <c:v>1650000</c:v>
                </c:pt>
                <c:pt idx="34">
                  <c:v>1700000</c:v>
                </c:pt>
                <c:pt idx="35">
                  <c:v>1750000</c:v>
                </c:pt>
                <c:pt idx="36">
                  <c:v>1800000</c:v>
                </c:pt>
                <c:pt idx="37">
                  <c:v>1850000</c:v>
                </c:pt>
                <c:pt idx="38">
                  <c:v>1900000</c:v>
                </c:pt>
                <c:pt idx="39">
                  <c:v>1950000</c:v>
                </c:pt>
                <c:pt idx="40">
                  <c:v>2000000</c:v>
                </c:pt>
                <c:pt idx="41">
                  <c:v>2050000</c:v>
                </c:pt>
                <c:pt idx="42">
                  <c:v>2100000</c:v>
                </c:pt>
                <c:pt idx="43">
                  <c:v>2150000</c:v>
                </c:pt>
                <c:pt idx="44">
                  <c:v>2200000</c:v>
                </c:pt>
                <c:pt idx="45">
                  <c:v>2250000</c:v>
                </c:pt>
                <c:pt idx="46">
                  <c:v>2300000</c:v>
                </c:pt>
                <c:pt idx="47">
                  <c:v>2350000</c:v>
                </c:pt>
                <c:pt idx="48">
                  <c:v>2400000</c:v>
                </c:pt>
                <c:pt idx="49">
                  <c:v>2450000</c:v>
                </c:pt>
                <c:pt idx="50">
                  <c:v>2500000</c:v>
                </c:pt>
                <c:pt idx="51">
                  <c:v>2550000</c:v>
                </c:pt>
                <c:pt idx="52">
                  <c:v>2600000</c:v>
                </c:pt>
                <c:pt idx="53">
                  <c:v>2650000</c:v>
                </c:pt>
                <c:pt idx="54">
                  <c:v>2700000</c:v>
                </c:pt>
                <c:pt idx="55">
                  <c:v>2750000</c:v>
                </c:pt>
                <c:pt idx="56">
                  <c:v>2800000</c:v>
                </c:pt>
                <c:pt idx="57">
                  <c:v>2850000</c:v>
                </c:pt>
                <c:pt idx="58">
                  <c:v>2900000</c:v>
                </c:pt>
                <c:pt idx="59">
                  <c:v>2950000</c:v>
                </c:pt>
                <c:pt idx="60">
                  <c:v>3000000</c:v>
                </c:pt>
                <c:pt idx="61">
                  <c:v>3050000</c:v>
                </c:pt>
                <c:pt idx="62">
                  <c:v>3100000</c:v>
                </c:pt>
                <c:pt idx="63">
                  <c:v>3150000</c:v>
                </c:pt>
                <c:pt idx="64">
                  <c:v>3200000</c:v>
                </c:pt>
                <c:pt idx="65">
                  <c:v>3250000</c:v>
                </c:pt>
                <c:pt idx="66">
                  <c:v>3300000</c:v>
                </c:pt>
                <c:pt idx="67">
                  <c:v>3350000</c:v>
                </c:pt>
                <c:pt idx="68">
                  <c:v>3400000</c:v>
                </c:pt>
                <c:pt idx="69">
                  <c:v>3450000</c:v>
                </c:pt>
                <c:pt idx="70">
                  <c:v>3500000</c:v>
                </c:pt>
                <c:pt idx="71">
                  <c:v>3550000</c:v>
                </c:pt>
                <c:pt idx="72">
                  <c:v>3600000</c:v>
                </c:pt>
                <c:pt idx="73">
                  <c:v>3650000</c:v>
                </c:pt>
                <c:pt idx="74">
                  <c:v>3700000</c:v>
                </c:pt>
                <c:pt idx="75">
                  <c:v>3750000</c:v>
                </c:pt>
                <c:pt idx="76">
                  <c:v>3800000</c:v>
                </c:pt>
                <c:pt idx="77">
                  <c:v>3850000</c:v>
                </c:pt>
                <c:pt idx="78">
                  <c:v>3900000</c:v>
                </c:pt>
                <c:pt idx="79">
                  <c:v>3950000</c:v>
                </c:pt>
                <c:pt idx="80">
                  <c:v>4000000</c:v>
                </c:pt>
                <c:pt idx="81">
                  <c:v>4050000</c:v>
                </c:pt>
                <c:pt idx="82">
                  <c:v>4100000</c:v>
                </c:pt>
                <c:pt idx="83">
                  <c:v>4150000</c:v>
                </c:pt>
                <c:pt idx="84">
                  <c:v>4200000</c:v>
                </c:pt>
              </c:numCache>
            </c:numRef>
          </c:xVal>
          <c:yVal>
            <c:numRef>
              <c:f>Fry_Parr_p!$AE$16:$AE$100</c:f>
              <c:numCache>
                <c:formatCode>0</c:formatCode>
                <c:ptCount val="85"/>
                <c:pt idx="0">
                  <c:v>111896.50152529828</c:v>
                </c:pt>
                <c:pt idx="1">
                  <c:v>111896.50152529828</c:v>
                </c:pt>
                <c:pt idx="2">
                  <c:v>111896.50152529828</c:v>
                </c:pt>
                <c:pt idx="3">
                  <c:v>111896.50152529828</c:v>
                </c:pt>
                <c:pt idx="4">
                  <c:v>111896.50152529828</c:v>
                </c:pt>
                <c:pt idx="5">
                  <c:v>111896.50152529828</c:v>
                </c:pt>
                <c:pt idx="6">
                  <c:v>111896.50152529828</c:v>
                </c:pt>
                <c:pt idx="7">
                  <c:v>111896.50152529828</c:v>
                </c:pt>
                <c:pt idx="8">
                  <c:v>111896.50152529828</c:v>
                </c:pt>
                <c:pt idx="9">
                  <c:v>111896.50152529828</c:v>
                </c:pt>
                <c:pt idx="10">
                  <c:v>111896.50152529828</c:v>
                </c:pt>
                <c:pt idx="11">
                  <c:v>111896.50152529828</c:v>
                </c:pt>
                <c:pt idx="12">
                  <c:v>111896.50152529828</c:v>
                </c:pt>
                <c:pt idx="13">
                  <c:v>111896.50152529828</c:v>
                </c:pt>
                <c:pt idx="14">
                  <c:v>111896.50152529828</c:v>
                </c:pt>
                <c:pt idx="15">
                  <c:v>111896.50152529828</c:v>
                </c:pt>
                <c:pt idx="16">
                  <c:v>111896.50152529828</c:v>
                </c:pt>
                <c:pt idx="17">
                  <c:v>111896.50152529828</c:v>
                </c:pt>
                <c:pt idx="18">
                  <c:v>111896.50152529828</c:v>
                </c:pt>
                <c:pt idx="19">
                  <c:v>111896.50152529828</c:v>
                </c:pt>
                <c:pt idx="20">
                  <c:v>111896.50152529828</c:v>
                </c:pt>
                <c:pt idx="21">
                  <c:v>111896.50152529828</c:v>
                </c:pt>
                <c:pt idx="22">
                  <c:v>111896.50152529828</c:v>
                </c:pt>
                <c:pt idx="23">
                  <c:v>111896.50152529828</c:v>
                </c:pt>
                <c:pt idx="24">
                  <c:v>111896.50152529828</c:v>
                </c:pt>
                <c:pt idx="25">
                  <c:v>111896.50152529828</c:v>
                </c:pt>
                <c:pt idx="26">
                  <c:v>111896.50152529828</c:v>
                </c:pt>
                <c:pt idx="27">
                  <c:v>111896.50152529828</c:v>
                </c:pt>
                <c:pt idx="28">
                  <c:v>111896.50152529828</c:v>
                </c:pt>
                <c:pt idx="29">
                  <c:v>111896.50152529828</c:v>
                </c:pt>
                <c:pt idx="30">
                  <c:v>111896.50152529828</c:v>
                </c:pt>
                <c:pt idx="31">
                  <c:v>111896.50152529828</c:v>
                </c:pt>
                <c:pt idx="32">
                  <c:v>111896.50152529828</c:v>
                </c:pt>
                <c:pt idx="33">
                  <c:v>111896.50152529828</c:v>
                </c:pt>
                <c:pt idx="34">
                  <c:v>111896.50152529828</c:v>
                </c:pt>
                <c:pt idx="35">
                  <c:v>111896.50152529828</c:v>
                </c:pt>
                <c:pt idx="36">
                  <c:v>111896.50152529828</c:v>
                </c:pt>
                <c:pt idx="37">
                  <c:v>111896.50152529828</c:v>
                </c:pt>
                <c:pt idx="38">
                  <c:v>111896.50152529828</c:v>
                </c:pt>
                <c:pt idx="39">
                  <c:v>111896.50152529828</c:v>
                </c:pt>
                <c:pt idx="40">
                  <c:v>111896.50152529828</c:v>
                </c:pt>
                <c:pt idx="41">
                  <c:v>111896.50152529828</c:v>
                </c:pt>
                <c:pt idx="42">
                  <c:v>111896.50152529828</c:v>
                </c:pt>
                <c:pt idx="43">
                  <c:v>111896.50152529828</c:v>
                </c:pt>
                <c:pt idx="44">
                  <c:v>111896.50152529828</c:v>
                </c:pt>
                <c:pt idx="45">
                  <c:v>111896.50152529828</c:v>
                </c:pt>
                <c:pt idx="46">
                  <c:v>111896.50152529828</c:v>
                </c:pt>
                <c:pt idx="47">
                  <c:v>111896.50152529828</c:v>
                </c:pt>
                <c:pt idx="48">
                  <c:v>111896.50152529828</c:v>
                </c:pt>
                <c:pt idx="49">
                  <c:v>111896.50152529828</c:v>
                </c:pt>
                <c:pt idx="50">
                  <c:v>111896.50152529828</c:v>
                </c:pt>
                <c:pt idx="51">
                  <c:v>111896.50152529828</c:v>
                </c:pt>
                <c:pt idx="52">
                  <c:v>111896.50152529828</c:v>
                </c:pt>
                <c:pt idx="53">
                  <c:v>111896.50152529828</c:v>
                </c:pt>
                <c:pt idx="54">
                  <c:v>111896.50152529828</c:v>
                </c:pt>
                <c:pt idx="55">
                  <c:v>111896.50152529828</c:v>
                </c:pt>
                <c:pt idx="56">
                  <c:v>111896.50152529828</c:v>
                </c:pt>
                <c:pt idx="57">
                  <c:v>111896.50152529828</c:v>
                </c:pt>
                <c:pt idx="58">
                  <c:v>111896.50152529828</c:v>
                </c:pt>
                <c:pt idx="59">
                  <c:v>111896.50152529828</c:v>
                </c:pt>
                <c:pt idx="60">
                  <c:v>111896.50152529828</c:v>
                </c:pt>
                <c:pt idx="61">
                  <c:v>111896.50152529828</c:v>
                </c:pt>
                <c:pt idx="62">
                  <c:v>111896.50152529828</c:v>
                </c:pt>
                <c:pt idx="63">
                  <c:v>111896.50152529828</c:v>
                </c:pt>
                <c:pt idx="64">
                  <c:v>111896.50152529828</c:v>
                </c:pt>
                <c:pt idx="65">
                  <c:v>111896.50152529828</c:v>
                </c:pt>
                <c:pt idx="66">
                  <c:v>111896.50152529828</c:v>
                </c:pt>
                <c:pt idx="67">
                  <c:v>111896.50152529828</c:v>
                </c:pt>
                <c:pt idx="68">
                  <c:v>111896.50152529828</c:v>
                </c:pt>
                <c:pt idx="69">
                  <c:v>111896.50152529828</c:v>
                </c:pt>
                <c:pt idx="70">
                  <c:v>111896.50152529828</c:v>
                </c:pt>
                <c:pt idx="71">
                  <c:v>111896.50152529828</c:v>
                </c:pt>
                <c:pt idx="72">
                  <c:v>111896.50152529828</c:v>
                </c:pt>
                <c:pt idx="73">
                  <c:v>111896.50152529828</c:v>
                </c:pt>
                <c:pt idx="74">
                  <c:v>111896.50152529828</c:v>
                </c:pt>
                <c:pt idx="75">
                  <c:v>111896.50152529828</c:v>
                </c:pt>
                <c:pt idx="76">
                  <c:v>111896.50152529828</c:v>
                </c:pt>
                <c:pt idx="77">
                  <c:v>111896.50152529828</c:v>
                </c:pt>
                <c:pt idx="78">
                  <c:v>111896.50152529828</c:v>
                </c:pt>
                <c:pt idx="79">
                  <c:v>111896.50152529828</c:v>
                </c:pt>
                <c:pt idx="80">
                  <c:v>111896.50152529828</c:v>
                </c:pt>
                <c:pt idx="81">
                  <c:v>111896.50152529828</c:v>
                </c:pt>
                <c:pt idx="82">
                  <c:v>111896.50152529828</c:v>
                </c:pt>
                <c:pt idx="83">
                  <c:v>111896.50152529828</c:v>
                </c:pt>
                <c:pt idx="84">
                  <c:v>111896.50152529828</c:v>
                </c:pt>
              </c:numCache>
            </c:numRef>
          </c:yVal>
          <c:smooth val="0"/>
          <c:extLst>
            <c:ext xmlns:c16="http://schemas.microsoft.com/office/drawing/2014/chart" uri="{C3380CC4-5D6E-409C-BE32-E72D297353CC}">
              <c16:uniqueId val="{00000000-F753-0F4E-8BC5-1671751EFA15}"/>
            </c:ext>
          </c:extLst>
        </c:ser>
        <c:dLbls>
          <c:showLegendKey val="0"/>
          <c:showVal val="0"/>
          <c:showCatName val="0"/>
          <c:showSerName val="0"/>
          <c:showPercent val="0"/>
          <c:showBubbleSize val="0"/>
        </c:dLbls>
        <c:axId val="266624384"/>
        <c:axId val="266626560"/>
      </c:scatterChart>
      <c:valAx>
        <c:axId val="266624384"/>
        <c:scaling>
          <c:orientation val="minMax"/>
          <c:max val="2200000"/>
          <c:min val="0"/>
        </c:scaling>
        <c:delete val="0"/>
        <c:axPos val="b"/>
        <c:title>
          <c:tx>
            <c:rich>
              <a:bodyPr/>
              <a:lstStyle/>
              <a:p>
                <a:pPr>
                  <a:defRPr/>
                </a:pPr>
                <a:r>
                  <a:rPr lang="en-US"/>
                  <a:t>Eggs</a:t>
                </a:r>
              </a:p>
            </c:rich>
          </c:tx>
          <c:overlay val="0"/>
        </c:title>
        <c:numFmt formatCode="General" sourceLinked="1"/>
        <c:majorTickMark val="out"/>
        <c:minorTickMark val="none"/>
        <c:tickLblPos val="nextTo"/>
        <c:crossAx val="266626560"/>
        <c:crosses val="autoZero"/>
        <c:crossBetween val="midCat"/>
      </c:valAx>
      <c:valAx>
        <c:axId val="266626560"/>
        <c:scaling>
          <c:orientation val="minMax"/>
        </c:scaling>
        <c:delete val="0"/>
        <c:axPos val="l"/>
        <c:majorGridlines/>
        <c:title>
          <c:tx>
            <c:rich>
              <a:bodyPr rot="-5400000" vert="horz"/>
              <a:lstStyle/>
              <a:p>
                <a:pPr>
                  <a:defRPr/>
                </a:pPr>
                <a:r>
                  <a:rPr lang="en-US"/>
                  <a:t>Chinook</a:t>
                </a:r>
                <a:r>
                  <a:rPr lang="en-US" baseline="0"/>
                  <a:t> summer </a:t>
                </a:r>
                <a:r>
                  <a:rPr lang="en-US"/>
                  <a:t>parr abundance</a:t>
                </a:r>
              </a:p>
            </c:rich>
          </c:tx>
          <c:layout>
            <c:manualLayout>
              <c:xMode val="edge"/>
              <c:yMode val="edge"/>
              <c:x val="2.6529368124297858E-2"/>
              <c:y val="0.19777778957805009"/>
            </c:manualLayout>
          </c:layout>
          <c:overlay val="0"/>
        </c:title>
        <c:numFmt formatCode="General" sourceLinked="1"/>
        <c:majorTickMark val="out"/>
        <c:minorTickMark val="none"/>
        <c:tickLblPos val="nextTo"/>
        <c:crossAx val="266624384"/>
        <c:crosses val="autoZero"/>
        <c:crossBetween val="midCat"/>
      </c:valAx>
    </c:plotArea>
    <c:plotVisOnly val="1"/>
    <c:dispBlanksAs val="gap"/>
    <c:showDLblsOverMax val="0"/>
  </c:chart>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chart" Target="../charts/chart1.xml"/><Relationship Id="rId4" Type="http://schemas.openxmlformats.org/officeDocument/2006/relationships/chart" Target="../charts/chart2.xml"/></Relationships>
</file>

<file path=xl/drawings/_rels/drawing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8.xml.rels><?xml version="1.0" encoding="UTF-8" standalone="yes"?>
<Relationships xmlns="http://schemas.openxmlformats.org/package/2006/relationships"><Relationship Id="rId1" Type="http://schemas.openxmlformats.org/officeDocument/2006/relationships/image" Target="../media/image4.emf"/></Relationships>
</file>

<file path=xl/drawings/_rels/drawing9.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254000</xdr:colOff>
          <xdr:row>1</xdr:row>
          <xdr:rowOff>127000</xdr:rowOff>
        </xdr:from>
        <xdr:to>
          <xdr:col>3</xdr:col>
          <xdr:colOff>1778000</xdr:colOff>
          <xdr:row>2</xdr:row>
          <xdr:rowOff>101600</xdr:rowOff>
        </xdr:to>
        <xdr:sp macro="" textlink="">
          <xdr:nvSpPr>
            <xdr:cNvPr id="28675" name="Button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Create Input Files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12</xdr:col>
      <xdr:colOff>546100</xdr:colOff>
      <xdr:row>15</xdr:row>
      <xdr:rowOff>165100</xdr:rowOff>
    </xdr:from>
    <xdr:to>
      <xdr:col>22</xdr:col>
      <xdr:colOff>0</xdr:colOff>
      <xdr:row>46</xdr:row>
      <xdr:rowOff>174356</xdr:rowOff>
    </xdr:to>
    <xdr:pic>
      <xdr:nvPicPr>
        <xdr:cNvPr id="2" name="Picture 1" descr="http://ars.els-cdn.com/content/image/1-s2.0-S0301479716309793-gr8.jpg">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452100" y="3213100"/>
          <a:ext cx="7708900" cy="63084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10</xdr:col>
      <xdr:colOff>101600</xdr:colOff>
      <xdr:row>13</xdr:row>
      <xdr:rowOff>42906</xdr:rowOff>
    </xdr:from>
    <xdr:to>
      <xdr:col>19</xdr:col>
      <xdr:colOff>617838</xdr:colOff>
      <xdr:row>33</xdr:row>
      <xdr:rowOff>197365</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91440</xdr:colOff>
      <xdr:row>10</xdr:row>
      <xdr:rowOff>60960</xdr:rowOff>
    </xdr:from>
    <xdr:to>
      <xdr:col>7</xdr:col>
      <xdr:colOff>411480</xdr:colOff>
      <xdr:row>12</xdr:row>
      <xdr:rowOff>30480</xdr:rowOff>
    </xdr:to>
    <xdr:pic>
      <xdr:nvPicPr>
        <xdr:cNvPr id="3" name="Pictur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4282440" y="2092960"/>
          <a:ext cx="993140" cy="375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53340</xdr:colOff>
      <xdr:row>10</xdr:row>
      <xdr:rowOff>68580</xdr:rowOff>
    </xdr:from>
    <xdr:to>
      <xdr:col>11</xdr:col>
      <xdr:colOff>220980</xdr:colOff>
      <xdr:row>12</xdr:row>
      <xdr:rowOff>38100</xdr:rowOff>
    </xdr:to>
    <xdr:pic>
      <xdr:nvPicPr>
        <xdr:cNvPr id="4" name="Picture 3">
          <a:extLst>
            <a:ext uri="{FF2B5EF4-FFF2-40B4-BE49-F238E27FC236}">
              <a16:creationId xmlns:a16="http://schemas.microsoft.com/office/drawing/2014/main" id="{00000000-0008-0000-0400-000004000000}"/>
            </a:ext>
          </a:extLst>
        </xdr:cNvPr>
        <xdr:cNvPicPr>
          <a:picLocks noChangeAspect="1" noChangeArrowheads="1"/>
        </xdr:cNvPicPr>
      </xdr:nvPicPr>
      <xdr:blipFill>
        <a:blip xmlns:r="http://schemas.openxmlformats.org/officeDocument/2006/relationships" r:embed="rId3">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5958840" y="2100580"/>
          <a:ext cx="2186940" cy="375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12</xdr:col>
      <xdr:colOff>41910</xdr:colOff>
      <xdr:row>10</xdr:row>
      <xdr:rowOff>133350</xdr:rowOff>
    </xdr:from>
    <xdr:ext cx="747256" cy="175369"/>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400-000005000000}"/>
                </a:ext>
              </a:extLst>
            </xdr:cNvPr>
            <xdr:cNvSpPr txBox="1"/>
          </xdr:nvSpPr>
          <xdr:spPr>
            <a:xfrm>
              <a:off x="8639810" y="2165350"/>
              <a:ext cx="747256" cy="175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 xmlns:m="http://schemas.openxmlformats.org/officeDocument/2006/math">
                  <m:r>
                    <a:rPr lang="en-US" sz="1100" i="1">
                      <a:latin typeface="Cambria Math" panose="02040503050406030204" pitchFamily="18" charset="0"/>
                      <a:ea typeface="Cambria Math" panose="02040503050406030204" pitchFamily="18" charset="0"/>
                    </a:rPr>
                    <m:t>𝜀</m:t>
                  </m:r>
                  <m:r>
                    <a:rPr lang="en-US" sz="1100" b="0" i="1">
                      <a:latin typeface="Cambria Math" panose="02040503050406030204" pitchFamily="18" charset="0"/>
                      <a:ea typeface="Cambria Math" panose="02040503050406030204" pitchFamily="18" charset="0"/>
                    </a:rPr>
                    <m:t>=</m:t>
                  </m:r>
                  <m:r>
                    <a:rPr lang="en-US" sz="1100" b="0" i="1">
                      <a:latin typeface="Cambria Math" panose="02040503050406030204" pitchFamily="18" charset="0"/>
                      <a:ea typeface="Cambria Math" panose="02040503050406030204" pitchFamily="18" charset="0"/>
                    </a:rPr>
                    <m:t>𝑁</m:t>
                  </m:r>
                  <m:r>
                    <a:rPr lang="en-US" sz="1100" b="0" i="1">
                      <a:latin typeface="Cambria Math" panose="02040503050406030204" pitchFamily="18" charset="0"/>
                      <a:ea typeface="Cambria Math" panose="02040503050406030204" pitchFamily="18" charset="0"/>
                    </a:rPr>
                    <m:t>(0,</m:t>
                  </m:r>
                  <m:sSup>
                    <m:sSupPr>
                      <m:ctrlPr>
                        <a:rPr lang="en-US" sz="1100" b="0" i="1">
                          <a:latin typeface="Cambria Math" panose="02040503050406030204" pitchFamily="18" charset="0"/>
                          <a:ea typeface="Cambria Math" panose="02040503050406030204" pitchFamily="18" charset="0"/>
                        </a:rPr>
                      </m:ctrlPr>
                    </m:sSupPr>
                    <m:e>
                      <m:r>
                        <a:rPr lang="en-US" sz="1100" b="0" i="1">
                          <a:latin typeface="Cambria Math" panose="02040503050406030204" pitchFamily="18" charset="0"/>
                          <a:ea typeface="Cambria Math" panose="02040503050406030204" pitchFamily="18" charset="0"/>
                        </a:rPr>
                        <m:t>𝜎</m:t>
                      </m:r>
                    </m:e>
                    <m:sup>
                      <m:r>
                        <a:rPr lang="en-US" sz="1100" b="0" i="1">
                          <a:latin typeface="Cambria Math" panose="02040503050406030204" pitchFamily="18" charset="0"/>
                          <a:ea typeface="Cambria Math" panose="02040503050406030204" pitchFamily="18" charset="0"/>
                        </a:rPr>
                        <m:t>2</m:t>
                      </m:r>
                    </m:sup>
                  </m:sSup>
                </m:oMath>
              </a14:m>
              <a:r>
                <a:rPr lang="en-US" sz="1100"/>
                <a:t>)</a:t>
              </a:r>
            </a:p>
          </xdr:txBody>
        </xdr:sp>
      </mc:Choice>
      <mc:Fallback xmlns="">
        <xdr:sp macro="" textlink="">
          <xdr:nvSpPr>
            <xdr:cNvPr id="5" name="TextBox 4">
              <a:extLst>
                <a:ext uri="{FF2B5EF4-FFF2-40B4-BE49-F238E27FC236}">
                  <a16:creationId xmlns:a16="http://schemas.microsoft.com/office/drawing/2014/main" id="{08CAA5E1-AFDD-ED41-BB32-2D9A9387A6FA}"/>
                </a:ext>
              </a:extLst>
            </xdr:cNvPr>
            <xdr:cNvSpPr txBox="1"/>
          </xdr:nvSpPr>
          <xdr:spPr>
            <a:xfrm>
              <a:off x="8639810" y="2165350"/>
              <a:ext cx="747256" cy="175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ea typeface="Cambria Math" panose="02040503050406030204" pitchFamily="18" charset="0"/>
                </a:rPr>
                <a:t>𝜀</a:t>
              </a:r>
              <a:r>
                <a:rPr lang="en-US" sz="1100" b="0" i="0">
                  <a:latin typeface="Cambria Math" panose="02040503050406030204" pitchFamily="18" charset="0"/>
                  <a:ea typeface="Cambria Math" panose="02040503050406030204" pitchFamily="18" charset="0"/>
                </a:rPr>
                <a:t>=𝑁(0,𝜎^2</a:t>
              </a:r>
              <a:r>
                <a:rPr lang="en-US" sz="1100"/>
                <a:t>)</a:t>
              </a:r>
            </a:p>
          </xdr:txBody>
        </xdr:sp>
      </mc:Fallback>
    </mc:AlternateContent>
    <xdr:clientData/>
  </xdr:oneCellAnchor>
  <xdr:twoCellAnchor>
    <xdr:from>
      <xdr:col>32</xdr:col>
      <xdr:colOff>84574</xdr:colOff>
      <xdr:row>14</xdr:row>
      <xdr:rowOff>160088</xdr:rowOff>
    </xdr:from>
    <xdr:to>
      <xdr:col>40</xdr:col>
      <xdr:colOff>596899</xdr:colOff>
      <xdr:row>30</xdr:row>
      <xdr:rowOff>152399</xdr:rowOff>
    </xdr:to>
    <xdr:graphicFrame macro="">
      <xdr:nvGraphicFramePr>
        <xdr:cNvPr id="6" name="Chart 5">
          <a:extLst>
            <a:ext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0.67833</cdr:x>
      <cdr:y>0.25694</cdr:y>
    </cdr:from>
    <cdr:to>
      <cdr:x>0.945</cdr:x>
      <cdr:y>0.32639</cdr:y>
    </cdr:to>
    <cdr:sp macro="" textlink="">
      <cdr:nvSpPr>
        <cdr:cNvPr id="2" name="TextBox 1"/>
        <cdr:cNvSpPr txBox="1"/>
      </cdr:nvSpPr>
      <cdr:spPr>
        <a:xfrm xmlns:a="http://schemas.openxmlformats.org/drawingml/2006/main">
          <a:off x="3101340" y="704850"/>
          <a:ext cx="1219200" cy="1905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userShapes>
</file>

<file path=xl/drawings/drawing5.xml><?xml version="1.0" encoding="utf-8"?>
<c:userShapes xmlns:c="http://schemas.openxmlformats.org/drawingml/2006/chart">
  <cdr:relSizeAnchor xmlns:cdr="http://schemas.openxmlformats.org/drawingml/2006/chartDrawing">
    <cdr:from>
      <cdr:x>0.67833</cdr:x>
      <cdr:y>0.25694</cdr:y>
    </cdr:from>
    <cdr:to>
      <cdr:x>0.945</cdr:x>
      <cdr:y>0.32639</cdr:y>
    </cdr:to>
    <cdr:sp macro="" textlink="">
      <cdr:nvSpPr>
        <cdr:cNvPr id="2" name="TextBox 1"/>
        <cdr:cNvSpPr txBox="1"/>
      </cdr:nvSpPr>
      <cdr:spPr>
        <a:xfrm xmlns:a="http://schemas.openxmlformats.org/drawingml/2006/main">
          <a:off x="3101340" y="704850"/>
          <a:ext cx="1219200" cy="1905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userShapes>
</file>

<file path=xl/drawings/drawing6.xml><?xml version="1.0" encoding="utf-8"?>
<xdr:wsDr xmlns:xdr="http://schemas.openxmlformats.org/drawingml/2006/spreadsheetDrawing" xmlns:a="http://schemas.openxmlformats.org/drawingml/2006/main">
  <xdr:twoCellAnchor editAs="oneCell">
    <xdr:from>
      <xdr:col>6</xdr:col>
      <xdr:colOff>679493</xdr:colOff>
      <xdr:row>4</xdr:row>
      <xdr:rowOff>40247</xdr:rowOff>
    </xdr:from>
    <xdr:to>
      <xdr:col>10</xdr:col>
      <xdr:colOff>476505</xdr:colOff>
      <xdr:row>17</xdr:row>
      <xdr:rowOff>145491</xdr:rowOff>
    </xdr:to>
    <xdr:pic>
      <xdr:nvPicPr>
        <xdr:cNvPr id="2" name="Picture 1" descr="http://ars.els-cdn.com/content/image/1-s2.0-S0301479716309793-gr8.jpg">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86768" y="844115"/>
          <a:ext cx="3406045" cy="271781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833926</xdr:colOff>
      <xdr:row>11</xdr:row>
      <xdr:rowOff>160020</xdr:rowOff>
    </xdr:from>
    <xdr:to>
      <xdr:col>7</xdr:col>
      <xdr:colOff>68580</xdr:colOff>
      <xdr:row>46</xdr:row>
      <xdr:rowOff>44137</xdr:rowOff>
    </xdr:to>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833926" y="2522220"/>
          <a:ext cx="5841194" cy="681831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As I mentioned yesterday, I thought that estimating the Beverton-Holt parameters using MCMC techniques was going to provide the most stable estimates of these parameters as well as realistic estimates of uncertainty for these parameters.  I used the “Stan” software (http://mc-stan.org/) to do this and more specifically the “RStan” package in R. Steps for installing RStan can be found here: https://github.com/stan-dev/rstan/wiki/Installing-RStan-on-Windows (it’s a little bit more than the usual install.packages(…) command)</a:t>
          </a:r>
        </a:p>
        <a:p>
          <a:endParaRPr lang="en-US" sz="1100"/>
        </a:p>
        <a:p>
          <a:r>
            <a:rPr lang="en-US" sz="1100"/>
            <a:t>I used the Beverton-Holt function that assumes multiplicative error parameterized as:</a:t>
          </a:r>
        </a:p>
        <a:p>
          <a:endParaRPr lang="en-US" sz="1100"/>
        </a:p>
        <a:p>
          <a:r>
            <a:rPr lang="en-US" sz="1100"/>
            <a:t>Parr=  (a×Eggs)/(1+b×Eggs)×E</a:t>
          </a:r>
        </a:p>
        <a:p>
          <a:endParaRPr lang="en-US" sz="1100"/>
        </a:p>
        <a:p>
          <a:r>
            <a:rPr lang="en-US" sz="1100"/>
            <a:t>And fit the equation on the log scale (i.e. log-transformed both sides so that error is additive on the log-scale) I like this form of the Beverton-Holt function from an estimation standpoint as the ‘a’ and ‘b’ parameters are close to each other in scale (e.g. ‘a’ should be between 0 and 1, and ‘b’ should be really close to zero).  Having parameters close to each other in scale helps with the estimation.  With this parameterization, ‘a’ is the maximum number of parr produced for very low number of eggs (i.e. survival at very small egg production) and ‘a/b’ is the maximum number of parr produced very large number of eggs (i.e. capacity). </a:t>
          </a:r>
        </a:p>
        <a:p>
          <a:endParaRPr lang="en-US" sz="1100"/>
        </a:p>
        <a:p>
          <a:r>
            <a:rPr lang="en-US" sz="1100"/>
            <a:t>One advantage of using this MCMC approach is that in your simulation model you could potentially sample from the posterior distribution of the parameters reported here. For instance, instead of estimating a mean and variance for a parameter, and then assuming some parametric distribution for that parameter (e.g. log-normal), you could just sample the actual MCMC values. This is similar to what Bob does in a lot of his life-cycle models.  However, I’m guessing you’re not going to re-invent the wheel on this model so the mean and sd of the MCMC samples for each parameter are below: </a:t>
          </a:r>
        </a:p>
        <a:p>
          <a:endParaRPr lang="en-US" sz="1100"/>
        </a:p>
        <a:p>
          <a:r>
            <a:rPr lang="en-US" sz="1100"/>
            <a:t>Unfortunately, the standard deviations for the Grande Ronde estimates are pretty large and might be too large to be useful for your simulation model. However, this seems reasonable given the relatively small sample size for this dataset. Also, the posterior distribution for the Grande Ronde survival parameters were pretty flat indicating a wide range of plausible values from 0.4 all the way to 1. I don’t have the distribution plotted here, but I can show you if you’re interested or you could make a histogram of the values in Excel.</a:t>
          </a:r>
        </a:p>
        <a:p>
          <a:endParaRPr lang="en-US" sz="1100"/>
        </a:p>
        <a:p>
          <a:r>
            <a:rPr lang="en-US" sz="1100"/>
            <a:t>Hope this helps,</a:t>
          </a:r>
        </a:p>
        <a:p>
          <a:endParaRPr lang="en-US" sz="1100"/>
        </a:p>
        <a:p>
          <a:r>
            <a:rPr lang="en-US" sz="1100"/>
            <a:t>Tommy</a:t>
          </a:r>
        </a:p>
        <a:p>
          <a:endParaRPr lang="en-US" sz="1100"/>
        </a:p>
        <a:p>
          <a:endParaRPr lang="en-US" sz="1100"/>
        </a:p>
        <a:p>
          <a:endParaRPr lang="en-US" sz="1100"/>
        </a:p>
        <a:p>
          <a:endParaRPr 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36027</xdr:colOff>
      <xdr:row>12</xdr:row>
      <xdr:rowOff>37660</xdr:rowOff>
    </xdr:from>
    <xdr:to>
      <xdr:col>5</xdr:col>
      <xdr:colOff>1026809</xdr:colOff>
      <xdr:row>16</xdr:row>
      <xdr:rowOff>128380</xdr:rowOff>
    </xdr:to>
    <xdr:pic>
      <xdr:nvPicPr>
        <xdr:cNvPr id="3" name="Picture 2">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530779" y="3181135"/>
          <a:ext cx="4062200" cy="91937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25</xdr:col>
      <xdr:colOff>522941</xdr:colOff>
      <xdr:row>8</xdr:row>
      <xdr:rowOff>85378</xdr:rowOff>
    </xdr:from>
    <xdr:to>
      <xdr:col>32</xdr:col>
      <xdr:colOff>183775</xdr:colOff>
      <xdr:row>35</xdr:row>
      <xdr:rowOff>25750</xdr:rowOff>
    </xdr:to>
    <xdr:pic>
      <xdr:nvPicPr>
        <xdr:cNvPr id="2" name="Picture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23382941" y="1921008"/>
          <a:ext cx="5562599" cy="5415246"/>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25</xdr:col>
      <xdr:colOff>523769</xdr:colOff>
      <xdr:row>36</xdr:row>
      <xdr:rowOff>33831</xdr:rowOff>
    </xdr:from>
    <xdr:to>
      <xdr:col>32</xdr:col>
      <xdr:colOff>653675</xdr:colOff>
      <xdr:row>58</xdr:row>
      <xdr:rowOff>146849</xdr:rowOff>
    </xdr:to>
    <xdr:pic>
      <xdr:nvPicPr>
        <xdr:cNvPr id="3" name="Picture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23383769" y="7547108"/>
          <a:ext cx="6031671" cy="4584699"/>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4</xdr:col>
      <xdr:colOff>299253</xdr:colOff>
      <xdr:row>8</xdr:row>
      <xdr:rowOff>179678</xdr:rowOff>
    </xdr:from>
    <xdr:to>
      <xdr:col>8</xdr:col>
      <xdr:colOff>545456</xdr:colOff>
      <xdr:row>24</xdr:row>
      <xdr:rowOff>102184</xdr:rowOff>
    </xdr:to>
    <xdr:pic>
      <xdr:nvPicPr>
        <xdr:cNvPr id="3" name="Picture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a:stretch>
          <a:fillRect/>
        </a:stretch>
      </xdr:blipFill>
      <xdr:spPr>
        <a:xfrm>
          <a:off x="5087299" y="1967896"/>
          <a:ext cx="3866433" cy="3192391"/>
        </a:xfrm>
        <a:prstGeom prst="rect">
          <a:avLst/>
        </a:prstGeom>
        <a:ln>
          <a:noFill/>
        </a:ln>
        <a:effectLst>
          <a:outerShdw blurRad="292100" dist="139700" dir="2700000" algn="tl" rotWithShape="0">
            <a:srgbClr val="333333">
              <a:alpha val="65000"/>
            </a:srgbClr>
          </a:outerShdw>
        </a:effec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8</xdr:col>
      <xdr:colOff>380435</xdr:colOff>
      <xdr:row>12</xdr:row>
      <xdr:rowOff>139794</xdr:rowOff>
    </xdr:from>
    <xdr:to>
      <xdr:col>14</xdr:col>
      <xdr:colOff>530745</xdr:colOff>
      <xdr:row>50</xdr:row>
      <xdr:rowOff>161119</xdr:rowOff>
    </xdr:to>
    <xdr:pic>
      <xdr:nvPicPr>
        <xdr:cNvPr id="2" name="Picture 1">
          <a:extLst>
            <a:ext uri="{FF2B5EF4-FFF2-40B4-BE49-F238E27FC236}">
              <a16:creationId xmlns:a16="http://schemas.microsoft.com/office/drawing/2014/main" id="{00000000-0008-0000-10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914913" y="3134719"/>
          <a:ext cx="5154489" cy="7584460"/>
        </a:xfrm>
        <a:prstGeom prst="rect">
          <a:avLst/>
        </a:prstGeom>
        <a:noFill/>
        <a:ln>
          <a:noFill/>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nick/Desktop/EggToParr_CJ_1Oct2018.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Bev-Holt_UGR"/>
      <sheetName val="Bev-Holt_CC"/>
      <sheetName val="Bev-Holt-Combined"/>
    </sheetNames>
    <sheetDataSet>
      <sheetData sheetId="0" refreshError="1"/>
      <sheetData sheetId="1" refreshError="1"/>
      <sheetData sheetId="2">
        <row r="9">
          <cell r="C9">
            <v>492283.5</v>
          </cell>
          <cell r="H9">
            <v>0</v>
          </cell>
          <cell r="I9">
            <v>0</v>
          </cell>
        </row>
        <row r="10">
          <cell r="H10">
            <v>50000</v>
          </cell>
          <cell r="I10">
            <v>13821.722551561636</v>
          </cell>
        </row>
        <row r="11">
          <cell r="H11">
            <v>100000</v>
          </cell>
          <cell r="I11">
            <v>24604.26735948044</v>
          </cell>
        </row>
        <row r="12">
          <cell r="H12">
            <v>150000</v>
          </cell>
          <cell r="I12">
            <v>33250.745093621532</v>
          </cell>
        </row>
        <row r="13">
          <cell r="H13">
            <v>200000</v>
          </cell>
          <cell r="I13">
            <v>40338.69497750431</v>
          </cell>
        </row>
        <row r="14">
          <cell r="H14">
            <v>250000</v>
          </cell>
          <cell r="I14">
            <v>46254.666284571111</v>
          </cell>
        </row>
        <row r="15">
          <cell r="H15">
            <v>300000</v>
          </cell>
          <cell r="I15">
            <v>51267.139208698485</v>
          </cell>
        </row>
        <row r="16">
          <cell r="H16">
            <v>350000</v>
          </cell>
          <cell r="I16">
            <v>55568.406108233918</v>
          </cell>
        </row>
        <row r="17">
          <cell r="H17">
            <v>400000</v>
          </cell>
          <cell r="I17">
            <v>59299.806454360332</v>
          </cell>
        </row>
        <row r="18">
          <cell r="H18">
            <v>450000</v>
          </cell>
          <cell r="I18">
            <v>62567.554937741479</v>
          </cell>
        </row>
        <row r="19">
          <cell r="H19">
            <v>500000</v>
          </cell>
          <cell r="I19">
            <v>65453.014456219316</v>
          </cell>
        </row>
        <row r="20">
          <cell r="H20">
            <v>550000</v>
          </cell>
          <cell r="I20">
            <v>68019.562882771061</v>
          </cell>
        </row>
        <row r="21">
          <cell r="H21">
            <v>600000</v>
          </cell>
          <cell r="I21">
            <v>70317.302247700194</v>
          </cell>
        </row>
        <row r="22">
          <cell r="H22">
            <v>650000</v>
          </cell>
          <cell r="I22">
            <v>72386.361893918904</v>
          </cell>
        </row>
        <row r="23">
          <cell r="H23">
            <v>700000</v>
          </cell>
          <cell r="I23">
            <v>74259.262154853423</v>
          </cell>
        </row>
        <row r="24">
          <cell r="H24">
            <v>750000</v>
          </cell>
          <cell r="I24">
            <v>75962.636184919626</v>
          </cell>
        </row>
        <row r="25">
          <cell r="H25">
            <v>800000</v>
          </cell>
          <cell r="I25">
            <v>77518.504478012939</v>
          </cell>
        </row>
        <row r="26">
          <cell r="H26">
            <v>850000</v>
          </cell>
          <cell r="I26">
            <v>78945.232021848322</v>
          </cell>
        </row>
        <row r="27">
          <cell r="H27">
            <v>900000</v>
          </cell>
          <cell r="I27">
            <v>80258.25661125053</v>
          </cell>
        </row>
        <row r="28">
          <cell r="H28">
            <v>950000</v>
          </cell>
          <cell r="I28">
            <v>81470.649705504868</v>
          </cell>
        </row>
        <row r="29">
          <cell r="H29">
            <v>1000000</v>
          </cell>
          <cell r="I29">
            <v>82593.553090936868</v>
          </cell>
        </row>
        <row r="30">
          <cell r="H30">
            <v>1050000</v>
          </cell>
          <cell r="I30">
            <v>83636.522291656205</v>
          </cell>
        </row>
        <row r="31">
          <cell r="H31">
            <v>1100000</v>
          </cell>
          <cell r="I31">
            <v>84607.799163494259</v>
          </cell>
        </row>
        <row r="32">
          <cell r="H32">
            <v>1150000</v>
          </cell>
          <cell r="I32">
            <v>85514.530142513802</v>
          </cell>
        </row>
        <row r="33">
          <cell r="H33">
            <v>1200000</v>
          </cell>
          <cell r="I33">
            <v>86362.942381872504</v>
          </cell>
        </row>
        <row r="34">
          <cell r="H34">
            <v>1250000</v>
          </cell>
          <cell r="I34">
            <v>87158.486961496295</v>
          </cell>
        </row>
        <row r="35">
          <cell r="H35">
            <v>1300000</v>
          </cell>
          <cell r="I35">
            <v>87905.956134921202</v>
          </cell>
        </row>
        <row r="36">
          <cell r="H36">
            <v>1350000</v>
          </cell>
          <cell r="I36">
            <v>88609.579943590143</v>
          </cell>
        </row>
        <row r="37">
          <cell r="H37">
            <v>1400000</v>
          </cell>
          <cell r="I37">
            <v>89273.106313860975</v>
          </cell>
        </row>
        <row r="38">
          <cell r="H38">
            <v>1450000</v>
          </cell>
          <cell r="I38">
            <v>89899.867839906132</v>
          </cell>
        </row>
        <row r="39">
          <cell r="H39">
            <v>1500000</v>
          </cell>
          <cell r="I39">
            <v>90492.837764891039</v>
          </cell>
        </row>
        <row r="40">
          <cell r="H40">
            <v>1550000</v>
          </cell>
          <cell r="I40">
            <v>91054.677145223541</v>
          </cell>
        </row>
        <row r="41">
          <cell r="H41">
            <v>1600000</v>
          </cell>
          <cell r="I41">
            <v>91587.774776526232</v>
          </cell>
        </row>
        <row r="42">
          <cell r="H42">
            <v>1650000</v>
          </cell>
          <cell r="I42">
            <v>92094.281145007059</v>
          </cell>
        </row>
        <row r="43">
          <cell r="H43">
            <v>1700000</v>
          </cell>
          <cell r="I43">
            <v>92576.137421906751</v>
          </cell>
        </row>
        <row r="44">
          <cell r="H44">
            <v>1750000</v>
          </cell>
          <cell r="I44">
            <v>93035.100325298568</v>
          </cell>
        </row>
        <row r="45">
          <cell r="H45">
            <v>1800000</v>
          </cell>
          <cell r="I45">
            <v>93472.763520503388</v>
          </cell>
        </row>
        <row r="46">
          <cell r="H46">
            <v>1850000</v>
          </cell>
          <cell r="I46">
            <v>93890.576108599547</v>
          </cell>
        </row>
        <row r="47">
          <cell r="H47">
            <v>1900000</v>
          </cell>
          <cell r="I47">
            <v>94289.858655029457</v>
          </cell>
        </row>
        <row r="48">
          <cell r="H48">
            <v>1950000</v>
          </cell>
          <cell r="I48">
            <v>94671.817131858756</v>
          </cell>
        </row>
        <row r="49">
          <cell r="H49">
            <v>2000000</v>
          </cell>
          <cell r="I49">
            <v>95037.555083789324</v>
          </cell>
        </row>
        <row r="50">
          <cell r="H50">
            <v>2050000</v>
          </cell>
          <cell r="I50">
            <v>95388.084276446709</v>
          </cell>
        </row>
        <row r="51">
          <cell r="H51">
            <v>2100000</v>
          </cell>
          <cell r="I51">
            <v>95724.334043336916</v>
          </cell>
        </row>
        <row r="52">
          <cell r="H52">
            <v>2150000</v>
          </cell>
          <cell r="I52">
            <v>96047.159513311301</v>
          </cell>
        </row>
        <row r="53">
          <cell r="H53">
            <v>2200000</v>
          </cell>
          <cell r="I53">
            <v>96357.348871907161</v>
          </cell>
        </row>
        <row r="54">
          <cell r="H54">
            <v>2250000</v>
          </cell>
          <cell r="I54">
            <v>96655.629786380552</v>
          </cell>
        </row>
        <row r="55">
          <cell r="H55">
            <v>2300000</v>
          </cell>
          <cell r="I55">
            <v>96942.675104687703</v>
          </cell>
        </row>
        <row r="56">
          <cell r="H56">
            <v>2350000</v>
          </cell>
          <cell r="I56">
            <v>97219.10792236666</v>
          </cell>
        </row>
        <row r="57">
          <cell r="H57">
            <v>2400000</v>
          </cell>
          <cell r="I57">
            <v>97485.506097628269</v>
          </cell>
        </row>
        <row r="58">
          <cell r="H58">
            <v>2450000</v>
          </cell>
          <cell r="I58">
            <v>97742.40628351261</v>
          </cell>
        </row>
        <row r="59">
          <cell r="H59">
            <v>2500000</v>
          </cell>
          <cell r="I59">
            <v>97990.307536319408</v>
          </cell>
        </row>
        <row r="60">
          <cell r="H60">
            <v>2550000</v>
          </cell>
          <cell r="I60">
            <v>98229.674551367396</v>
          </cell>
        </row>
        <row r="61">
          <cell r="H61">
            <v>2600000</v>
          </cell>
          <cell r="I61">
            <v>98460.940570226288</v>
          </cell>
        </row>
        <row r="62">
          <cell r="H62">
            <v>2650000</v>
          </cell>
          <cell r="I62">
            <v>98684.509997688598</v>
          </cell>
        </row>
        <row r="63">
          <cell r="H63">
            <v>2700000</v>
          </cell>
          <cell r="I63">
            <v>98900.760761737329</v>
          </cell>
        </row>
        <row r="64">
          <cell r="H64">
            <v>2750000</v>
          </cell>
          <cell r="I64">
            <v>99110.046445482047</v>
          </cell>
        </row>
        <row r="65">
          <cell r="H65">
            <v>2800000</v>
          </cell>
          <cell r="I65">
            <v>99312.698216361037</v>
          </cell>
        </row>
        <row r="66">
          <cell r="H66">
            <v>2850000</v>
          </cell>
          <cell r="I66">
            <v>99509.026574750998</v>
          </cell>
        </row>
        <row r="67">
          <cell r="H67">
            <v>2900000</v>
          </cell>
          <cell r="I67">
            <v>99699.322941403909</v>
          </cell>
        </row>
        <row r="68">
          <cell r="H68">
            <v>2950000</v>
          </cell>
          <cell r="I68">
            <v>99883.861100780152</v>
          </cell>
        </row>
        <row r="69">
          <cell r="H69">
            <v>3000000</v>
          </cell>
          <cell r="I69">
            <v>100062.89851531267</v>
          </cell>
        </row>
        <row r="70">
          <cell r="H70">
            <v>3050000</v>
          </cell>
          <cell r="I70">
            <v>100236.67752386934</v>
          </cell>
        </row>
        <row r="71">
          <cell r="H71">
            <v>3100000</v>
          </cell>
          <cell r="I71">
            <v>100405.42643614548</v>
          </cell>
        </row>
        <row r="72">
          <cell r="H72">
            <v>3150000</v>
          </cell>
          <cell r="I72">
            <v>100569.36053337976</v>
          </cell>
        </row>
        <row r="73">
          <cell r="H73">
            <v>3200000</v>
          </cell>
          <cell r="I73">
            <v>100728.68298461597</v>
          </cell>
        </row>
        <row r="74">
          <cell r="H74">
            <v>3250000</v>
          </cell>
          <cell r="I74">
            <v>100883.58568671119</v>
          </cell>
        </row>
        <row r="75">
          <cell r="H75">
            <v>3300000</v>
          </cell>
          <cell r="I75">
            <v>101034.2500353926</v>
          </cell>
        </row>
        <row r="76">
          <cell r="H76">
            <v>3350000</v>
          </cell>
          <cell r="I76">
            <v>101180.8476338769</v>
          </cell>
        </row>
        <row r="77">
          <cell r="H77">
            <v>3400000</v>
          </cell>
          <cell r="I77">
            <v>101323.54094487232</v>
          </cell>
        </row>
        <row r="78">
          <cell r="H78">
            <v>3450000</v>
          </cell>
          <cell r="I78">
            <v>101462.48389117165</v>
          </cell>
        </row>
        <row r="79">
          <cell r="H79">
            <v>3500000</v>
          </cell>
          <cell r="I79">
            <v>101597.8224095039</v>
          </cell>
        </row>
        <row r="80">
          <cell r="H80">
            <v>3550000</v>
          </cell>
          <cell r="I80">
            <v>101729.69496183401</v>
          </cell>
        </row>
        <row r="81">
          <cell r="H81">
            <v>3600000</v>
          </cell>
          <cell r="I81">
            <v>101858.23300787696</v>
          </cell>
        </row>
        <row r="82">
          <cell r="H82">
            <v>3650000</v>
          </cell>
          <cell r="I82">
            <v>101983.56144221533</v>
          </cell>
        </row>
        <row r="83">
          <cell r="H83">
            <v>3700000</v>
          </cell>
          <cell r="I83">
            <v>102105.79899907633</v>
          </cell>
        </row>
        <row r="84">
          <cell r="H84">
            <v>3750000</v>
          </cell>
          <cell r="I84">
            <v>102225.05862752521</v>
          </cell>
        </row>
        <row r="85">
          <cell r="H85">
            <v>3800000</v>
          </cell>
          <cell r="I85">
            <v>102341.44783956769</v>
          </cell>
        </row>
        <row r="86">
          <cell r="H86">
            <v>3850000</v>
          </cell>
          <cell r="I86">
            <v>102455.06903341618</v>
          </cell>
        </row>
        <row r="87">
          <cell r="H87">
            <v>3900000</v>
          </cell>
          <cell r="I87">
            <v>102566.01979396283</v>
          </cell>
        </row>
        <row r="88">
          <cell r="H88">
            <v>3950000</v>
          </cell>
          <cell r="I88">
            <v>102674.39317231267</v>
          </cell>
        </row>
        <row r="89">
          <cell r="H89">
            <v>4000000</v>
          </cell>
          <cell r="I89">
            <v>102780.27794605984</v>
          </cell>
        </row>
        <row r="90">
          <cell r="H90">
            <v>4050000</v>
          </cell>
          <cell r="I90">
            <v>102883.75886183689</v>
          </cell>
        </row>
        <row r="91">
          <cell r="H91">
            <v>4100000</v>
          </cell>
          <cell r="I91">
            <v>102984.91686153006</v>
          </cell>
        </row>
        <row r="92">
          <cell r="H92">
            <v>4150000</v>
          </cell>
          <cell r="I92">
            <v>103083.82929342956</v>
          </cell>
        </row>
        <row r="93">
          <cell r="H93">
            <v>4200000</v>
          </cell>
          <cell r="I93">
            <v>103180.57010947249</v>
          </cell>
        </row>
      </sheetData>
      <sheetData sheetId="3">
        <row r="8">
          <cell r="D8" t="str">
            <v>Bev-Holt Parameters</v>
          </cell>
        </row>
        <row r="16">
          <cell r="B16">
            <v>747045</v>
          </cell>
          <cell r="C16">
            <v>77466.791666666672</v>
          </cell>
          <cell r="G16">
            <v>0</v>
          </cell>
          <cell r="H16">
            <v>0</v>
          </cell>
          <cell r="I16">
            <v>108086.71860770251</v>
          </cell>
        </row>
        <row r="17">
          <cell r="B17">
            <v>626368.5</v>
          </cell>
          <cell r="C17">
            <v>125619.91907514451</v>
          </cell>
          <cell r="G17">
            <v>50000</v>
          </cell>
          <cell r="H17">
            <v>13889.457783799111</v>
          </cell>
          <cell r="I17">
            <v>108086.71860770251</v>
          </cell>
        </row>
        <row r="18">
          <cell r="B18">
            <v>101521.5</v>
          </cell>
          <cell r="C18">
            <v>17113</v>
          </cell>
          <cell r="G18">
            <v>100000</v>
          </cell>
          <cell r="H18">
            <v>24615.723488044256</v>
          </cell>
          <cell r="I18">
            <v>108086.71860770251</v>
          </cell>
        </row>
        <row r="19">
          <cell r="B19">
            <v>149409</v>
          </cell>
          <cell r="C19">
            <v>36297.140425531921</v>
          </cell>
          <cell r="G19">
            <v>150000</v>
          </cell>
          <cell r="H19">
            <v>33148.910485061628</v>
          </cell>
          <cell r="I19">
            <v>108086.71860770251</v>
          </cell>
        </row>
        <row r="20">
          <cell r="B20">
            <v>181972.5</v>
          </cell>
          <cell r="C20">
            <v>70211.736000000004</v>
          </cell>
          <cell r="G20">
            <v>200000</v>
          </cell>
          <cell r="H20">
            <v>40099.228559148396</v>
          </cell>
          <cell r="I20">
            <v>108086.71860770251</v>
          </cell>
        </row>
        <row r="21">
          <cell r="B21">
            <v>3913366.5</v>
          </cell>
          <cell r="C21">
            <v>227463.30120481929</v>
          </cell>
          <cell r="G21">
            <v>250000</v>
          </cell>
          <cell r="H21">
            <v>45869.719384167955</v>
          </cell>
          <cell r="I21">
            <v>108086.71860770251</v>
          </cell>
        </row>
        <row r="22">
          <cell r="B22">
            <v>1656907.5</v>
          </cell>
          <cell r="C22">
            <v>56714.081632653055</v>
          </cell>
          <cell r="G22">
            <v>300000</v>
          </cell>
          <cell r="H22">
            <v>50737.296003368589</v>
          </cell>
          <cell r="I22">
            <v>108086.71860770251</v>
          </cell>
        </row>
        <row r="23">
          <cell r="B23">
            <v>739383</v>
          </cell>
          <cell r="C23">
            <v>87176.098039215707</v>
          </cell>
          <cell r="G23">
            <v>350000</v>
          </cell>
          <cell r="H23">
            <v>54898.501542596023</v>
          </cell>
          <cell r="I23">
            <v>108086.71860770251</v>
          </cell>
        </row>
        <row r="24">
          <cell r="B24">
            <v>605298</v>
          </cell>
          <cell r="C24">
            <v>23767.854430379746</v>
          </cell>
          <cell r="G24">
            <v>400000</v>
          </cell>
          <cell r="H24">
            <v>58496.694410280455</v>
          </cell>
          <cell r="I24">
            <v>108086.71860770251</v>
          </cell>
        </row>
        <row r="25">
          <cell r="B25">
            <v>2352234</v>
          </cell>
          <cell r="C25">
            <v>58770.000000000007</v>
          </cell>
          <cell r="G25">
            <v>450000</v>
          </cell>
          <cell r="H25">
            <v>61638.898180278375</v>
          </cell>
          <cell r="I25">
            <v>108086.71860770251</v>
          </cell>
        </row>
        <row r="26">
          <cell r="B26">
            <v>2045754</v>
          </cell>
          <cell r="C26">
            <v>97513</v>
          </cell>
          <cell r="G26">
            <v>500000</v>
          </cell>
          <cell r="H26">
            <v>64406.62717791168</v>
          </cell>
          <cell r="I26">
            <v>108086.71860770251</v>
          </cell>
        </row>
        <row r="27">
          <cell r="G27">
            <v>550000</v>
          </cell>
          <cell r="H27">
            <v>66863.059282842209</v>
          </cell>
          <cell r="I27">
            <v>108086.71860770251</v>
          </cell>
        </row>
        <row r="28">
          <cell r="G28">
            <v>600000</v>
          </cell>
          <cell r="H28">
            <v>69057.917336507584</v>
          </cell>
          <cell r="I28">
            <v>108086.71860770251</v>
          </cell>
        </row>
        <row r="29">
          <cell r="G29">
            <v>650000</v>
          </cell>
          <cell r="H29">
            <v>71030.869983604556</v>
          </cell>
          <cell r="I29">
            <v>108086.71860770251</v>
          </cell>
        </row>
        <row r="30">
          <cell r="G30">
            <v>700000</v>
          </cell>
          <cell r="H30">
            <v>72813.950648373924</v>
          </cell>
          <cell r="I30">
            <v>108086.71860770251</v>
          </cell>
        </row>
        <row r="31">
          <cell r="G31">
            <v>750000</v>
          </cell>
          <cell r="H31">
            <v>74433.310185126233</v>
          </cell>
          <cell r="I31">
            <v>108086.71860770251</v>
          </cell>
        </row>
        <row r="32">
          <cell r="G32">
            <v>800000</v>
          </cell>
          <cell r="H32">
            <v>75910.507939013114</v>
          </cell>
          <cell r="I32">
            <v>108086.71860770251</v>
          </cell>
        </row>
        <row r="33">
          <cell r="G33">
            <v>850000</v>
          </cell>
          <cell r="H33">
            <v>77263.477081920297</v>
          </cell>
          <cell r="I33">
            <v>108086.71860770251</v>
          </cell>
        </row>
        <row r="34">
          <cell r="G34">
            <v>900000</v>
          </cell>
          <cell r="H34">
            <v>78507.2562290122</v>
          </cell>
          <cell r="I34">
            <v>108086.71860770251</v>
          </cell>
        </row>
        <row r="35">
          <cell r="G35">
            <v>950000</v>
          </cell>
          <cell r="H35">
            <v>79654.550792611175</v>
          </cell>
          <cell r="I35">
            <v>108086.71860770251</v>
          </cell>
        </row>
        <row r="36">
          <cell r="G36">
            <v>1000000</v>
          </cell>
          <cell r="H36">
            <v>80716.168575016753</v>
          </cell>
          <cell r="I36">
            <v>108086.71860770251</v>
          </cell>
        </row>
        <row r="37">
          <cell r="G37">
            <v>1050000</v>
          </cell>
          <cell r="H37">
            <v>81701.36128732108</v>
          </cell>
          <cell r="I37">
            <v>108086.71860770251</v>
          </cell>
        </row>
        <row r="38">
          <cell r="G38">
            <v>1100000</v>
          </cell>
          <cell r="H38">
            <v>82618.09487378932</v>
          </cell>
          <cell r="I38">
            <v>108086.71860770251</v>
          </cell>
        </row>
        <row r="39">
          <cell r="G39">
            <v>1150000</v>
          </cell>
          <cell r="H39">
            <v>83473.265375479474</v>
          </cell>
          <cell r="I39">
            <v>108086.71860770251</v>
          </cell>
        </row>
        <row r="40">
          <cell r="G40">
            <v>1200000</v>
          </cell>
          <cell r="H40">
            <v>84272.872717815335</v>
          </cell>
          <cell r="I40">
            <v>108086.71860770251</v>
          </cell>
        </row>
        <row r="41">
          <cell r="G41">
            <v>1250000</v>
          </cell>
          <cell r="H41">
            <v>85022.161689403089</v>
          </cell>
          <cell r="I41">
            <v>108086.71860770251</v>
          </cell>
        </row>
        <row r="42">
          <cell r="G42">
            <v>1300000</v>
          </cell>
          <cell r="H42">
            <v>85725.737117820623</v>
          </cell>
          <cell r="I42">
            <v>108086.71860770251</v>
          </cell>
        </row>
        <row r="43">
          <cell r="G43">
            <v>1350000</v>
          </cell>
          <cell r="H43">
            <v>86387.658589061204</v>
          </cell>
          <cell r="I43">
            <v>108086.71860770251</v>
          </cell>
        </row>
        <row r="44">
          <cell r="G44">
            <v>1400000</v>
          </cell>
          <cell r="H44">
            <v>87011.518827552049</v>
          </cell>
          <cell r="I44">
            <v>108086.71860770251</v>
          </cell>
        </row>
        <row r="45">
          <cell r="G45">
            <v>1450000</v>
          </cell>
          <cell r="H45">
            <v>87600.508933220946</v>
          </cell>
          <cell r="I45">
            <v>108086.71860770251</v>
          </cell>
        </row>
        <row r="46">
          <cell r="G46">
            <v>1500000</v>
          </cell>
          <cell r="H46">
            <v>88157.472976858044</v>
          </cell>
          <cell r="I46">
            <v>108086.71860770251</v>
          </cell>
        </row>
        <row r="47">
          <cell r="G47">
            <v>1550000</v>
          </cell>
          <cell r="H47">
            <v>88684.953925401234</v>
          </cell>
          <cell r="I47">
            <v>108086.71860770251</v>
          </cell>
        </row>
        <row r="48">
          <cell r="G48">
            <v>1600000</v>
          </cell>
          <cell r="H48">
            <v>89185.232462063286</v>
          </cell>
          <cell r="I48">
            <v>108086.71860770251</v>
          </cell>
        </row>
        <row r="49">
          <cell r="G49">
            <v>1650000</v>
          </cell>
          <cell r="H49">
            <v>89660.359951519669</v>
          </cell>
          <cell r="I49">
            <v>108086.71860770251</v>
          </cell>
        </row>
        <row r="50">
          <cell r="G50">
            <v>1700000</v>
          </cell>
          <cell r="H50">
            <v>90112.186555125896</v>
          </cell>
          <cell r="I50">
            <v>108086.71860770251</v>
          </cell>
        </row>
        <row r="51">
          <cell r="G51">
            <v>1750000</v>
          </cell>
          <cell r="H51">
            <v>90542.385308711891</v>
          </cell>
          <cell r="I51">
            <v>108086.71860770251</v>
          </cell>
        </row>
        <row r="52">
          <cell r="G52">
            <v>1800000</v>
          </cell>
          <cell r="H52">
            <v>90952.472823558666</v>
          </cell>
          <cell r="I52">
            <v>108086.71860770251</v>
          </cell>
        </row>
        <row r="53">
          <cell r="G53">
            <v>1850000</v>
          </cell>
          <cell r="H53">
            <v>91343.827150453901</v>
          </cell>
          <cell r="I53">
            <v>108086.71860770251</v>
          </cell>
        </row>
        <row r="54">
          <cell r="G54">
            <v>1900000</v>
          </cell>
          <cell r="H54">
            <v>91717.703250274557</v>
          </cell>
          <cell r="I54">
            <v>108086.71860770251</v>
          </cell>
        </row>
        <row r="55">
          <cell r="G55">
            <v>1950000</v>
          </cell>
          <cell r="H55">
            <v>92075.246437055292</v>
          </cell>
          <cell r="I55">
            <v>108086.71860770251</v>
          </cell>
        </row>
        <row r="56">
          <cell r="G56">
            <v>2000000</v>
          </cell>
          <cell r="H56">
            <v>92417.504096920791</v>
          </cell>
          <cell r="I56">
            <v>108086.71860770251</v>
          </cell>
        </row>
        <row r="57">
          <cell r="G57">
            <v>2050000</v>
          </cell>
          <cell r="H57">
            <v>92745.435935465939</v>
          </cell>
          <cell r="I57">
            <v>108086.71860770251</v>
          </cell>
        </row>
        <row r="58">
          <cell r="G58">
            <v>2100000</v>
          </cell>
          <cell r="H58">
            <v>93059.922964745318</v>
          </cell>
          <cell r="I58">
            <v>108086.71860770251</v>
          </cell>
        </row>
        <row r="59">
          <cell r="G59">
            <v>2150000</v>
          </cell>
          <cell r="H59">
            <v>93361.775407099805</v>
          </cell>
          <cell r="I59">
            <v>108086.71860770251</v>
          </cell>
        </row>
        <row r="60">
          <cell r="G60">
            <v>2200000</v>
          </cell>
          <cell r="H60">
            <v>93651.739665128029</v>
          </cell>
          <cell r="I60">
            <v>108086.71860770251</v>
          </cell>
        </row>
        <row r="61">
          <cell r="G61">
            <v>2250000</v>
          </cell>
          <cell r="H61">
            <v>93930.504484043428</v>
          </cell>
          <cell r="I61">
            <v>108086.71860770251</v>
          </cell>
        </row>
        <row r="62">
          <cell r="G62">
            <v>2300000</v>
          </cell>
          <cell r="H62">
            <v>94198.706413523658</v>
          </cell>
          <cell r="I62">
            <v>108086.71860770251</v>
          </cell>
        </row>
        <row r="63">
          <cell r="G63">
            <v>2350000</v>
          </cell>
          <cell r="H63">
            <v>94456.934660227125</v>
          </cell>
          <cell r="I63">
            <v>108086.71860770251</v>
          </cell>
        </row>
        <row r="64">
          <cell r="G64">
            <v>2400000</v>
          </cell>
          <cell r="H64">
            <v>94705.735408836801</v>
          </cell>
          <cell r="I64">
            <v>108086.71860770251</v>
          </cell>
        </row>
        <row r="65">
          <cell r="G65">
            <v>2450000</v>
          </cell>
          <cell r="H65">
            <v>94945.615678324961</v>
          </cell>
          <cell r="I65">
            <v>108086.71860770251</v>
          </cell>
        </row>
        <row r="66">
          <cell r="G66">
            <v>2500000</v>
          </cell>
          <cell r="H66">
            <v>95177.04677073659</v>
          </cell>
          <cell r="I66">
            <v>108086.71860770251</v>
          </cell>
        </row>
        <row r="67">
          <cell r="G67">
            <v>2550000</v>
          </cell>
          <cell r="H67">
            <v>95400.467361855408</v>
          </cell>
          <cell r="I67">
            <v>108086.71860770251</v>
          </cell>
        </row>
        <row r="68">
          <cell r="G68">
            <v>2600000</v>
          </cell>
          <cell r="H68">
            <v>95616.286276398925</v>
          </cell>
          <cell r="I68">
            <v>108086.71860770251</v>
          </cell>
        </row>
        <row r="69">
          <cell r="G69">
            <v>2650000</v>
          </cell>
          <cell r="H69">
            <v>95824.884984681645</v>
          </cell>
          <cell r="I69">
            <v>108086.71860770251</v>
          </cell>
        </row>
        <row r="70">
          <cell r="G70">
            <v>2700000</v>
          </cell>
          <cell r="H70">
            <v>96026.619852823656</v>
          </cell>
          <cell r="I70">
            <v>108086.71860770251</v>
          </cell>
        </row>
        <row r="71">
          <cell r="G71">
            <v>2750000</v>
          </cell>
          <cell r="H71">
            <v>96221.824174428693</v>
          </cell>
          <cell r="I71">
            <v>108086.71860770251</v>
          </cell>
        </row>
        <row r="72">
          <cell r="G72">
            <v>2800000</v>
          </cell>
          <cell r="H72">
            <v>96410.81000809664</v>
          </cell>
          <cell r="I72">
            <v>108086.71860770251</v>
          </cell>
        </row>
        <row r="73">
          <cell r="G73">
            <v>2850000</v>
          </cell>
          <cell r="H73">
            <v>96593.869842080458</v>
          </cell>
          <cell r="I73">
            <v>108086.71860770251</v>
          </cell>
        </row>
        <row r="74">
          <cell r="G74">
            <v>2900000</v>
          </cell>
          <cell r="H74">
            <v>96771.278104765166</v>
          </cell>
          <cell r="I74">
            <v>108086.71860770251</v>
          </cell>
        </row>
        <row r="75">
          <cell r="G75">
            <v>2950000</v>
          </cell>
          <cell r="H75">
            <v>96943.292537375266</v>
          </cell>
          <cell r="I75">
            <v>108086.71860770251</v>
          </cell>
        </row>
        <row r="76">
          <cell r="G76">
            <v>3000000</v>
          </cell>
          <cell r="H76">
            <v>97110.155443351803</v>
          </cell>
          <cell r="I76">
            <v>108086.71860770251</v>
          </cell>
        </row>
        <row r="77">
          <cell r="G77">
            <v>3050000</v>
          </cell>
          <cell r="H77">
            <v>97272.094827135545</v>
          </cell>
          <cell r="I77">
            <v>108086.71860770251</v>
          </cell>
        </row>
        <row r="78">
          <cell r="G78">
            <v>3100000</v>
          </cell>
          <cell r="H78">
            <v>97429.325433611564</v>
          </cell>
          <cell r="I78">
            <v>108086.71860770251</v>
          </cell>
        </row>
        <row r="79">
          <cell r="G79">
            <v>3150000</v>
          </cell>
          <cell r="H79">
            <v>97582.049698180243</v>
          </cell>
          <cell r="I79">
            <v>108086.71860770251</v>
          </cell>
        </row>
        <row r="80">
          <cell r="G80">
            <v>3200000</v>
          </cell>
          <cell r="H80">
            <v>97730.458616293079</v>
          </cell>
          <cell r="I80">
            <v>108086.71860770251</v>
          </cell>
        </row>
        <row r="81">
          <cell r="G81">
            <v>3250000</v>
          </cell>
          <cell r="H81">
            <v>97874.732540307159</v>
          </cell>
          <cell r="I81">
            <v>108086.71860770251</v>
          </cell>
        </row>
        <row r="82">
          <cell r="G82">
            <v>3300000</v>
          </cell>
          <cell r="H82">
            <v>98015.041910648448</v>
          </cell>
          <cell r="I82">
            <v>108086.71860770251</v>
          </cell>
        </row>
        <row r="83">
          <cell r="G83">
            <v>3350000</v>
          </cell>
          <cell r="H83">
            <v>98151.547927516294</v>
          </cell>
          <cell r="I83">
            <v>108086.71860770251</v>
          </cell>
        </row>
        <row r="84">
          <cell r="G84">
            <v>3400000</v>
          </cell>
          <cell r="H84">
            <v>98284.403168695004</v>
          </cell>
          <cell r="I84">
            <v>108086.71860770251</v>
          </cell>
        </row>
        <row r="85">
          <cell r="G85">
            <v>3450000</v>
          </cell>
          <cell r="H85">
            <v>98413.752158450341</v>
          </cell>
          <cell r="I85">
            <v>108086.71860770251</v>
          </cell>
        </row>
        <row r="86">
          <cell r="G86">
            <v>3500000</v>
          </cell>
          <cell r="H86">
            <v>98539.731891970587</v>
          </cell>
          <cell r="I86">
            <v>108086.71860770251</v>
          </cell>
        </row>
        <row r="87">
          <cell r="G87">
            <v>3550000</v>
          </cell>
          <cell r="H87">
            <v>98662.472319352848</v>
          </cell>
          <cell r="I87">
            <v>108086.71860770251</v>
          </cell>
        </row>
        <row r="88">
          <cell r="G88">
            <v>3600000</v>
          </cell>
          <cell r="H88">
            <v>98782.096792729164</v>
          </cell>
          <cell r="I88">
            <v>108086.71860770251</v>
          </cell>
        </row>
        <row r="89">
          <cell r="G89">
            <v>3650000</v>
          </cell>
          <cell r="H89">
            <v>98898.722479766497</v>
          </cell>
          <cell r="I89">
            <v>108086.71860770251</v>
          </cell>
        </row>
        <row r="90">
          <cell r="G90">
            <v>3700000</v>
          </cell>
          <cell r="H90">
            <v>99012.460746454468</v>
          </cell>
          <cell r="I90">
            <v>108086.71860770251</v>
          </cell>
        </row>
        <row r="91">
          <cell r="G91">
            <v>3750000</v>
          </cell>
          <cell r="H91">
            <v>99123.417511809384</v>
          </cell>
          <cell r="I91">
            <v>108086.71860770251</v>
          </cell>
        </row>
        <row r="92">
          <cell r="G92">
            <v>3800000</v>
          </cell>
          <cell r="H92">
            <v>99231.693576869642</v>
          </cell>
          <cell r="I92">
            <v>108086.71860770251</v>
          </cell>
        </row>
        <row r="93">
          <cell r="G93">
            <v>3850000</v>
          </cell>
          <cell r="H93">
            <v>99337.384930130196</v>
          </cell>
          <cell r="I93">
            <v>108086.71860770251</v>
          </cell>
        </row>
        <row r="94">
          <cell r="G94">
            <v>3900000</v>
          </cell>
          <cell r="H94">
            <v>99440.583031361486</v>
          </cell>
          <cell r="I94">
            <v>108086.71860770251</v>
          </cell>
        </row>
        <row r="95">
          <cell r="G95">
            <v>3950000</v>
          </cell>
          <cell r="H95">
            <v>99541.375075576827</v>
          </cell>
          <cell r="I95">
            <v>108086.71860770251</v>
          </cell>
        </row>
        <row r="96">
          <cell r="G96">
            <v>4000000</v>
          </cell>
          <cell r="H96">
            <v>99639.844238749167</v>
          </cell>
          <cell r="I96">
            <v>108086.71860770251</v>
          </cell>
        </row>
        <row r="97">
          <cell r="G97">
            <v>4050000</v>
          </cell>
          <cell r="H97">
            <v>99736.069906733072</v>
          </cell>
          <cell r="I97">
            <v>108086.71860770251</v>
          </cell>
        </row>
        <row r="98">
          <cell r="G98">
            <v>4100000</v>
          </cell>
          <cell r="H98">
            <v>99830.127888715651</v>
          </cell>
          <cell r="I98">
            <v>108086.71860770251</v>
          </cell>
        </row>
        <row r="99">
          <cell r="G99">
            <v>4150000</v>
          </cell>
          <cell r="H99">
            <v>99922.090616403017</v>
          </cell>
          <cell r="I99">
            <v>108086.71860770251</v>
          </cell>
        </row>
        <row r="100">
          <cell r="G100">
            <v>4200000</v>
          </cell>
          <cell r="H100">
            <v>100012.02733004192</v>
          </cell>
          <cell r="I100">
            <v>108086.71860770251</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drawing" Target="../drawings/drawing9.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hyperlink" Target="http://www.fpc.org/documents/CSS/CSS_2016_Final.pdf" TargetMode="Externa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hyperlink" Target="https://www.cbfish.org/Document.mvc/Viewer/P105971" TargetMode="External"/></Relationships>
</file>

<file path=xl/worksheets/_rels/sheet1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C292E9-97EB-034C-8BF7-23DE2DF1D4E6}">
  <sheetPr codeName="Sheet1">
    <tabColor theme="4" tint="-0.249977111117893"/>
  </sheetPr>
  <dimension ref="A1:H16"/>
  <sheetViews>
    <sheetView zoomScale="84" zoomScaleNormal="84" workbookViewId="0"/>
  </sheetViews>
  <sheetFormatPr baseColWidth="10" defaultColWidth="10.83203125" defaultRowHeight="16"/>
  <cols>
    <col min="1" max="1" width="26.1640625" style="183" customWidth="1"/>
    <col min="2" max="2" width="30.1640625" style="183" customWidth="1"/>
    <col min="3" max="3" width="41.33203125" style="183" customWidth="1"/>
    <col min="4" max="4" width="40.33203125" customWidth="1"/>
    <col min="5" max="5" width="20" style="183" customWidth="1"/>
    <col min="6" max="6" width="18.83203125" style="183" customWidth="1"/>
    <col min="7" max="7" width="18.6640625" style="183" customWidth="1"/>
    <col min="8" max="8" width="21.5" style="183" customWidth="1"/>
    <col min="9" max="16384" width="10.83203125" style="183"/>
  </cols>
  <sheetData>
    <row r="1" spans="1:8" s="2" customFormat="1" ht="35" customHeight="1">
      <c r="A1" s="189" t="s">
        <v>161</v>
      </c>
      <c r="D1"/>
      <c r="F1" s="2" t="s">
        <v>43</v>
      </c>
      <c r="G1" s="2" t="s">
        <v>45</v>
      </c>
      <c r="H1" s="2" t="s">
        <v>53</v>
      </c>
    </row>
    <row r="2" spans="1:8" ht="32" customHeight="1" thickBot="1">
      <c r="A2" s="190" t="s">
        <v>163</v>
      </c>
      <c r="B2" s="190" t="s">
        <v>164</v>
      </c>
      <c r="C2" s="190" t="s">
        <v>165</v>
      </c>
      <c r="F2" s="183" t="s">
        <v>25</v>
      </c>
      <c r="G2" s="104" t="s">
        <v>46</v>
      </c>
      <c r="H2" s="183" t="s">
        <v>54</v>
      </c>
    </row>
    <row r="3" spans="1:8" ht="32" customHeight="1" thickTop="1">
      <c r="A3" s="191" t="s">
        <v>235</v>
      </c>
      <c r="B3" s="192" t="s">
        <v>49</v>
      </c>
      <c r="C3" s="193" t="s">
        <v>247</v>
      </c>
      <c r="F3" s="183" t="s">
        <v>44</v>
      </c>
      <c r="G3" s="104" t="s">
        <v>47</v>
      </c>
      <c r="H3" s="183" t="s">
        <v>55</v>
      </c>
    </row>
    <row r="4" spans="1:8" ht="32" customHeight="1">
      <c r="A4" s="191" t="s">
        <v>238</v>
      </c>
      <c r="B4" s="192" t="s">
        <v>44</v>
      </c>
      <c r="C4" s="193" t="s">
        <v>24</v>
      </c>
      <c r="G4" s="104" t="s">
        <v>48</v>
      </c>
    </row>
    <row r="5" spans="1:8" ht="32" customHeight="1">
      <c r="A5" s="191" t="s">
        <v>239</v>
      </c>
      <c r="B5" s="192" t="s">
        <v>49</v>
      </c>
      <c r="C5" s="193" t="s">
        <v>28</v>
      </c>
      <c r="G5" s="104" t="s">
        <v>193</v>
      </c>
    </row>
    <row r="6" spans="1:8" ht="32" customHeight="1">
      <c r="A6" s="191" t="s">
        <v>240</v>
      </c>
      <c r="B6" s="192">
        <v>200</v>
      </c>
      <c r="C6" s="193" t="s">
        <v>29</v>
      </c>
      <c r="G6" s="104" t="s">
        <v>49</v>
      </c>
    </row>
    <row r="7" spans="1:8" ht="32" customHeight="1">
      <c r="A7" s="191" t="s">
        <v>241</v>
      </c>
      <c r="B7" s="192">
        <v>200</v>
      </c>
      <c r="C7" s="193" t="s">
        <v>30</v>
      </c>
      <c r="G7" s="104" t="s">
        <v>50</v>
      </c>
    </row>
    <row r="8" spans="1:8" ht="23" customHeight="1">
      <c r="A8" s="191" t="s">
        <v>242</v>
      </c>
      <c r="B8" s="192">
        <v>100000</v>
      </c>
      <c r="C8" s="193" t="s">
        <v>31</v>
      </c>
      <c r="G8" s="104" t="s">
        <v>51</v>
      </c>
    </row>
    <row r="9" spans="1:8" ht="23" customHeight="1">
      <c r="A9" s="191" t="s">
        <v>243</v>
      </c>
      <c r="B9" s="192">
        <v>100000</v>
      </c>
      <c r="C9" s="193" t="s">
        <v>32</v>
      </c>
    </row>
    <row r="10" spans="1:8" ht="23" customHeight="1">
      <c r="A10" s="191" t="s">
        <v>244</v>
      </c>
      <c r="B10" s="192">
        <v>200</v>
      </c>
      <c r="C10" s="193" t="s">
        <v>274</v>
      </c>
    </row>
    <row r="11" spans="1:8" ht="23" customHeight="1">
      <c r="A11" s="191" t="s">
        <v>245</v>
      </c>
      <c r="B11" s="192" t="s">
        <v>54</v>
      </c>
      <c r="C11" s="193" t="s">
        <v>248</v>
      </c>
    </row>
    <row r="12" spans="1:8" ht="19" customHeight="1"/>
    <row r="13" spans="1:8" ht="19" customHeight="1"/>
    <row r="14" spans="1:8" ht="19" customHeight="1"/>
    <row r="15" spans="1:8" ht="19" customHeight="1"/>
    <row r="16" spans="1:8" ht="19" customHeight="1"/>
  </sheetData>
  <dataValidations count="3">
    <dataValidation type="list" allowBlank="1" showInputMessage="1" showErrorMessage="1" sqref="B4" xr:uid="{A4FCAA62-837D-B74A-B740-C2F8AF6DF2A4}">
      <formula1>$F$2:$F$3</formula1>
    </dataValidation>
    <dataValidation type="list" allowBlank="1" showInputMessage="1" showErrorMessage="1" sqref="B11" xr:uid="{555C0E9B-41E1-3C4B-8C1D-21EC046EDECA}">
      <formula1>$H$2:$H$3</formula1>
    </dataValidation>
    <dataValidation type="list" allowBlank="1" showInputMessage="1" showErrorMessage="1" sqref="B5" xr:uid="{CF9AADA0-E7F5-EA4B-B8DC-B6F775B9CC2D}">
      <formula1>$G$2:$G$188</formula1>
    </dataValidation>
  </dataValidation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28675" r:id="rId3" name="Button 3">
              <controlPr defaultSize="0" print="0" autoFill="0" autoPict="0" macro="[0]!CreateInputFiles">
                <anchor moveWithCells="1" sizeWithCells="1">
                  <from>
                    <xdr:col>3</xdr:col>
                    <xdr:colOff>254000</xdr:colOff>
                    <xdr:row>1</xdr:row>
                    <xdr:rowOff>127000</xdr:rowOff>
                  </from>
                  <to>
                    <xdr:col>3</xdr:col>
                    <xdr:colOff>1778000</xdr:colOff>
                    <xdr:row>2</xdr:row>
                    <xdr:rowOff>101600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4DFF48-A062-124A-A02D-23ED0D7E0F71}">
  <sheetPr codeName="Sheet2">
    <tabColor theme="4" tint="-0.249977111117893"/>
  </sheetPr>
  <dimension ref="A1:M17"/>
  <sheetViews>
    <sheetView tabSelected="1" zoomScale="118" zoomScaleNormal="118" workbookViewId="0">
      <pane xSplit="2" ySplit="1" topLeftCell="C2" activePane="bottomRight" state="frozen"/>
      <selection activeCell="G60" sqref="G60"/>
      <selection pane="topRight" activeCell="G60" sqref="G60"/>
      <selection pane="bottomLeft" activeCell="G60" sqref="G60"/>
      <selection pane="bottomRight" activeCell="D23" sqref="D23"/>
    </sheetView>
  </sheetViews>
  <sheetFormatPr baseColWidth="10" defaultColWidth="11" defaultRowHeight="16"/>
  <cols>
    <col min="1" max="1" width="19.83203125" customWidth="1"/>
    <col min="2" max="2" width="22.33203125" customWidth="1"/>
    <col min="3" max="3" width="33.83203125" customWidth="1"/>
    <col min="4" max="5" width="15.83203125" customWidth="1"/>
    <col min="6" max="6" width="11.6640625" customWidth="1"/>
    <col min="7" max="9" width="15.83203125" customWidth="1"/>
    <col min="10" max="10" width="18.33203125" bestFit="1" customWidth="1"/>
    <col min="11" max="11" width="21" customWidth="1"/>
    <col min="12" max="12" width="19.83203125" customWidth="1"/>
    <col min="13" max="13" width="20.83203125" customWidth="1"/>
  </cols>
  <sheetData>
    <row r="1" spans="1:13" ht="36" customHeight="1">
      <c r="A1" t="s">
        <v>0</v>
      </c>
      <c r="B1" t="s">
        <v>1</v>
      </c>
      <c r="C1" t="s">
        <v>14</v>
      </c>
      <c r="D1" t="s">
        <v>15</v>
      </c>
      <c r="E1" t="s">
        <v>16</v>
      </c>
      <c r="F1" t="s">
        <v>17</v>
      </c>
      <c r="G1" t="s">
        <v>22</v>
      </c>
      <c r="H1" t="s">
        <v>18</v>
      </c>
      <c r="I1" t="s">
        <v>19</v>
      </c>
      <c r="J1" t="s">
        <v>41</v>
      </c>
      <c r="K1" t="s">
        <v>42</v>
      </c>
      <c r="L1" t="s">
        <v>38</v>
      </c>
      <c r="M1" t="s">
        <v>39</v>
      </c>
    </row>
    <row r="2" spans="1:13" ht="20" customHeight="1">
      <c r="A2" t="s">
        <v>2</v>
      </c>
      <c r="B2" t="s">
        <v>3</v>
      </c>
      <c r="C2" t="str">
        <f>A2&amp;"_"&amp;B2</f>
        <v>Egg_Fry</v>
      </c>
      <c r="D2">
        <v>1</v>
      </c>
      <c r="E2">
        <v>0</v>
      </c>
      <c r="F2">
        <v>1E+20</v>
      </c>
      <c r="G2">
        <v>0</v>
      </c>
      <c r="H2">
        <v>99999999999</v>
      </c>
      <c r="I2">
        <v>99999999999</v>
      </c>
      <c r="J2">
        <v>1</v>
      </c>
      <c r="K2">
        <v>1</v>
      </c>
      <c r="L2">
        <v>1</v>
      </c>
      <c r="M2">
        <v>1</v>
      </c>
    </row>
    <row r="3" spans="1:13" ht="20" customHeight="1">
      <c r="A3" t="s">
        <v>3</v>
      </c>
      <c r="B3" t="s">
        <v>4</v>
      </c>
      <c r="C3" t="str">
        <f t="shared" ref="C3:C17" si="0">A3&amp;"_"&amp;B3</f>
        <v>Fry_Parr</v>
      </c>
      <c r="D3" s="177">
        <f>VLOOKUP(Model!$B$4,older_Fry_Parr_p!$A$3:$D$4,3,FALSE)</f>
        <v>0.63</v>
      </c>
      <c r="E3" s="177">
        <v>-0.99</v>
      </c>
      <c r="F3">
        <f>VLOOKUP(Settings!$B$5,Fry_Parr_c!$A$3:$D$16,3,FALSE)</f>
        <v>45192.38</v>
      </c>
      <c r="G3">
        <f>VLOOKUP(Settings!$B$5,Fry_Parr_c!$A$3:$D$16,4,FALSE)</f>
        <v>25860.029325967866</v>
      </c>
      <c r="H3">
        <v>99999999999</v>
      </c>
      <c r="I3">
        <v>99999999999</v>
      </c>
      <c r="J3">
        <v>1</v>
      </c>
      <c r="K3">
        <v>1</v>
      </c>
      <c r="L3">
        <v>1</v>
      </c>
      <c r="M3">
        <v>1</v>
      </c>
    </row>
    <row r="4" spans="1:13" ht="20" customHeight="1">
      <c r="A4" t="s">
        <v>4</v>
      </c>
      <c r="B4" t="s">
        <v>20</v>
      </c>
      <c r="C4" t="str">
        <f t="shared" si="0"/>
        <v>Parr_PreSmoltHeadwaters</v>
      </c>
      <c r="D4">
        <v>1</v>
      </c>
      <c r="E4">
        <v>0</v>
      </c>
      <c r="F4">
        <v>1E+20</v>
      </c>
      <c r="G4">
        <v>0</v>
      </c>
      <c r="H4" s="177">
        <f>VLOOKUP(Model!$B$4,Parr_PreSmolt!$A$3:$D$4,3,FALSE)</f>
        <v>0.72413115963207075</v>
      </c>
      <c r="I4" s="177">
        <f>VLOOKUP(Model!$B$4,Parr_PreSmolt!$A$3:$D$4,4,FALSE)</f>
        <v>0.17293819905010713</v>
      </c>
      <c r="J4">
        <v>1</v>
      </c>
      <c r="K4">
        <v>1</v>
      </c>
      <c r="L4">
        <v>1</v>
      </c>
      <c r="M4">
        <v>1</v>
      </c>
    </row>
    <row r="5" spans="1:13" ht="20" customHeight="1">
      <c r="A5" t="s">
        <v>4</v>
      </c>
      <c r="B5" t="s">
        <v>21</v>
      </c>
      <c r="C5" t="str">
        <f t="shared" si="0"/>
        <v>Parr_PreSmoltValley</v>
      </c>
      <c r="D5">
        <v>1</v>
      </c>
      <c r="E5">
        <v>0</v>
      </c>
      <c r="F5">
        <v>1E+20</v>
      </c>
      <c r="G5">
        <v>0</v>
      </c>
      <c r="H5" s="177">
        <f>VLOOKUP(Model!$B$4,Parr_PreSmolt!$A$5:$D$6,3,FALSE)</f>
        <v>0.2758688403679293</v>
      </c>
      <c r="I5" s="177">
        <f>VLOOKUP(Model!$B$4,Parr_PreSmolt!$A$5:$D$6,4,FALSE)</f>
        <v>0.17293819905010713</v>
      </c>
      <c r="J5">
        <v>1</v>
      </c>
      <c r="K5">
        <v>1</v>
      </c>
      <c r="L5">
        <v>1</v>
      </c>
      <c r="M5">
        <v>1</v>
      </c>
    </row>
    <row r="6" spans="1:13" ht="20" customHeight="1">
      <c r="A6" t="s">
        <v>20</v>
      </c>
      <c r="B6" t="s">
        <v>5</v>
      </c>
      <c r="C6" t="str">
        <f t="shared" si="0"/>
        <v>PreSmoltHeadwaters_LGDSmolt</v>
      </c>
      <c r="D6" s="177">
        <f>VLOOKUP(Model!$B$4,PreSmolt_LGDSmolt_p!$A$3:$D$4,3,FALSE)</f>
        <v>0.12164056411208016</v>
      </c>
      <c r="E6" s="177">
        <f>VLOOKUP(Model!$B$4,PreSmolt_LGDSmolt_p!$A$3:$D$4,4,FALSE)</f>
        <v>6.6284559719008956E-2</v>
      </c>
      <c r="F6">
        <v>1E+20</v>
      </c>
      <c r="G6">
        <v>0</v>
      </c>
      <c r="H6">
        <v>99999999999</v>
      </c>
      <c r="I6">
        <v>99999999999</v>
      </c>
      <c r="J6">
        <v>1</v>
      </c>
      <c r="K6">
        <v>1</v>
      </c>
      <c r="L6">
        <v>1</v>
      </c>
      <c r="M6">
        <v>1</v>
      </c>
    </row>
    <row r="7" spans="1:13" ht="20" customHeight="1">
      <c r="A7" t="s">
        <v>21</v>
      </c>
      <c r="B7" t="s">
        <v>5</v>
      </c>
      <c r="C7" t="str">
        <f t="shared" si="0"/>
        <v>PreSmoltValley_LGDSmolt</v>
      </c>
      <c r="D7" s="177">
        <f>VLOOKUP(Model!$B$4,PreSmolt_LGDSmolt_p!$A$5:$D$6,3,FALSE)</f>
        <v>0.190690486066388</v>
      </c>
      <c r="E7" s="177">
        <f>VLOOKUP(Model!$B$4,PreSmolt_LGDSmolt_p!$A$5:$D$6,4,FALSE)</f>
        <v>6.6284559719008956E-2</v>
      </c>
      <c r="F7">
        <v>1E+20</v>
      </c>
      <c r="G7">
        <v>0</v>
      </c>
      <c r="H7">
        <v>99999999999</v>
      </c>
      <c r="I7">
        <v>99999999999</v>
      </c>
      <c r="J7">
        <v>1</v>
      </c>
      <c r="K7">
        <v>1</v>
      </c>
      <c r="L7">
        <v>1</v>
      </c>
      <c r="M7">
        <v>1</v>
      </c>
    </row>
    <row r="8" spans="1:13" ht="20" customHeight="1">
      <c r="A8" t="s">
        <v>33</v>
      </c>
      <c r="B8" t="s">
        <v>5</v>
      </c>
      <c r="C8" t="str">
        <f t="shared" si="0"/>
        <v>HatchRelease_LGDSmolt</v>
      </c>
      <c r="D8" s="177">
        <f>VLOOKUP(Model!$B$4,HatchRelease_LGDSmolt!$A$3:$D$4,3,FALSE)</f>
        <v>0.44700000000000001</v>
      </c>
      <c r="E8" s="177">
        <f>VLOOKUP(Model!$B$4,HatchRelease_LGDSmolt!$A$3:$D$4,4,FALSE)</f>
        <v>0.13194452991450242</v>
      </c>
      <c r="F8">
        <v>1E+20</v>
      </c>
      <c r="G8">
        <v>0</v>
      </c>
      <c r="H8">
        <v>99999999999</v>
      </c>
      <c r="I8">
        <v>99999999999</v>
      </c>
      <c r="J8">
        <v>1</v>
      </c>
      <c r="K8">
        <v>1</v>
      </c>
      <c r="L8">
        <v>1</v>
      </c>
      <c r="M8">
        <v>1</v>
      </c>
    </row>
    <row r="9" spans="1:13" ht="20" customHeight="1">
      <c r="A9" t="s">
        <v>5</v>
      </c>
      <c r="B9" t="s">
        <v>7</v>
      </c>
      <c r="C9" t="str">
        <f t="shared" si="0"/>
        <v>LGDSmolt_LGDAdult1</v>
      </c>
      <c r="D9" s="250">
        <f>VLOOKUP(Model!$B$4&amp;$C9,SAR!$A$3:$G$12,4,FALSE)</f>
        <v>2.7390366035103246E-2</v>
      </c>
      <c r="E9" s="250">
        <f>VLOOKUP(Model!$B$4&amp;$C9,SAR!$A$3:$G$12,5,FALSE)</f>
        <v>1.6182176961309979E-2</v>
      </c>
      <c r="F9">
        <v>1E+20</v>
      </c>
      <c r="G9">
        <v>0</v>
      </c>
      <c r="H9" s="250">
        <f>VLOOKUP(Model!$B$4&amp;$C9,SAR!$A$3:$G$12,6,FALSE)</f>
        <v>2.7987586025958716E-2</v>
      </c>
      <c r="I9">
        <v>99999999999</v>
      </c>
      <c r="J9">
        <v>1</v>
      </c>
      <c r="K9" s="250">
        <f>VLOOKUP(Model!$B$4,SAR!$B$3:$H$12,7,FALSE)</f>
        <v>0.40462873930444709</v>
      </c>
      <c r="L9">
        <v>1</v>
      </c>
      <c r="M9">
        <v>1</v>
      </c>
    </row>
    <row r="10" spans="1:13" ht="20" customHeight="1">
      <c r="A10" t="s">
        <v>5</v>
      </c>
      <c r="B10" t="s">
        <v>6</v>
      </c>
      <c r="C10" t="str">
        <f t="shared" si="0"/>
        <v>LGDSmolt_OceanAdult1</v>
      </c>
      <c r="D10" s="250">
        <f>VLOOKUP(Model!$B$4&amp;$C10,SAR!$A$3:$G$12,4,FALSE)</f>
        <v>2.7390366035103246E-2</v>
      </c>
      <c r="E10" s="250">
        <f>VLOOKUP(Model!$B$4&amp;$C10,SAR!$A$3:$G$12,5,FALSE)</f>
        <v>1.6182176961309979E-2</v>
      </c>
      <c r="F10">
        <v>1E+20</v>
      </c>
      <c r="G10">
        <v>0</v>
      </c>
      <c r="H10" s="250">
        <f>VLOOKUP(Model!$B$4&amp;$C10,SAR!$A$3:$G$12,6,FALSE)</f>
        <v>0.97201241397404126</v>
      </c>
      <c r="I10">
        <v>99999999999</v>
      </c>
      <c r="J10">
        <v>1</v>
      </c>
      <c r="K10" s="173">
        <v>1</v>
      </c>
      <c r="L10">
        <v>1</v>
      </c>
      <c r="M10">
        <v>1</v>
      </c>
    </row>
    <row r="11" spans="1:13" ht="20" customHeight="1">
      <c r="A11" t="s">
        <v>6</v>
      </c>
      <c r="B11" t="s">
        <v>9</v>
      </c>
      <c r="C11" t="str">
        <f t="shared" si="0"/>
        <v>OceanAdult1_LGDAdult2</v>
      </c>
      <c r="D11" s="250">
        <f>VLOOKUP(Model!$B$4&amp;$C11,SAR!$A$3:$G$12,4,FALSE)</f>
        <v>0.4609453991186368</v>
      </c>
      <c r="E11" s="250">
        <f>VLOOKUP(Model!$B$4&amp;$C11,SAR!$A$3:$G$12,5,FALSE)</f>
        <v>0.16206427780230612</v>
      </c>
      <c r="F11">
        <v>1E+20</v>
      </c>
      <c r="G11">
        <v>0</v>
      </c>
      <c r="H11" s="250">
        <f>VLOOKUP(Model!$B$4&amp;$C11,SAR!$A$3:$G$12,6,FALSE)</f>
        <v>0.61742618365557989</v>
      </c>
      <c r="I11">
        <v>99999999999</v>
      </c>
      <c r="J11">
        <v>1</v>
      </c>
      <c r="K11" s="250">
        <f>VLOOKUP(Model!$B$4,SAR!$B$3:$H$12,7,FALSE)</f>
        <v>0.40462873930444709</v>
      </c>
      <c r="L11">
        <v>1</v>
      </c>
      <c r="M11">
        <v>1</v>
      </c>
    </row>
    <row r="12" spans="1:13" ht="20" customHeight="1">
      <c r="A12" t="s">
        <v>6</v>
      </c>
      <c r="B12" t="s">
        <v>8</v>
      </c>
      <c r="C12" t="str">
        <f t="shared" si="0"/>
        <v>OceanAdult1_OceanAdult2</v>
      </c>
      <c r="D12" s="250">
        <f>VLOOKUP(Model!$B$4&amp;$C12,SAR!$A$3:$G$12,4,FALSE)</f>
        <v>0.4609453991186368</v>
      </c>
      <c r="E12" s="250">
        <f>VLOOKUP(Model!$B$4&amp;$C12,SAR!$A$3:$G$12,5,FALSE)</f>
        <v>0.16206427780230612</v>
      </c>
      <c r="F12">
        <v>1E+20</v>
      </c>
      <c r="G12">
        <v>0</v>
      </c>
      <c r="H12" s="250">
        <f>VLOOKUP(Model!$B$4&amp;$C12,SAR!$A$3:$G$12,6,FALSE)</f>
        <v>0.38257381634442011</v>
      </c>
      <c r="I12">
        <v>99999999999</v>
      </c>
      <c r="J12">
        <v>1</v>
      </c>
      <c r="K12" s="173">
        <v>1</v>
      </c>
      <c r="L12">
        <v>1</v>
      </c>
      <c r="M12">
        <v>1</v>
      </c>
    </row>
    <row r="13" spans="1:13" ht="20" customHeight="1">
      <c r="A13" t="s">
        <v>8</v>
      </c>
      <c r="B13" t="s">
        <v>10</v>
      </c>
      <c r="C13" t="str">
        <f t="shared" si="0"/>
        <v>OceanAdult2_LGDAdult3</v>
      </c>
      <c r="D13" s="250">
        <f>VLOOKUP(Model!$B$4&amp;$C13,SAR!$A$3:$G$12,4,FALSE)</f>
        <v>0.48000756472414247</v>
      </c>
      <c r="E13" s="250">
        <f>VLOOKUP(Model!$B$4&amp;$C13,SAR!$A$3:$G$12,5,FALSE)</f>
        <v>0.25061793071554317</v>
      </c>
      <c r="F13">
        <v>1E+20</v>
      </c>
      <c r="G13">
        <v>0</v>
      </c>
      <c r="H13">
        <v>1</v>
      </c>
      <c r="I13">
        <v>99999999999</v>
      </c>
      <c r="J13">
        <v>1</v>
      </c>
      <c r="K13" s="250">
        <f>VLOOKUP(Model!$B$4,SAR!$B$3:$H$12,7,FALSE)</f>
        <v>0.40462873930444709</v>
      </c>
      <c r="L13">
        <v>1</v>
      </c>
      <c r="M13">
        <v>1</v>
      </c>
    </row>
    <row r="14" spans="1:13" ht="20" customHeight="1">
      <c r="A14" t="s">
        <v>34</v>
      </c>
      <c r="B14" t="s">
        <v>35</v>
      </c>
      <c r="C14" t="str">
        <f t="shared" si="0"/>
        <v>LGDAdult_TrapAdult</v>
      </c>
      <c r="D14">
        <v>1</v>
      </c>
      <c r="E14">
        <v>0</v>
      </c>
      <c r="F14">
        <v>1E+20</v>
      </c>
      <c r="G14">
        <v>0</v>
      </c>
      <c r="H14">
        <v>99999999999</v>
      </c>
      <c r="I14">
        <v>99999999999</v>
      </c>
      <c r="J14">
        <v>1</v>
      </c>
      <c r="K14">
        <v>1</v>
      </c>
      <c r="L14">
        <v>1</v>
      </c>
      <c r="M14">
        <v>1</v>
      </c>
    </row>
    <row r="15" spans="1:13" ht="20" customHeight="1">
      <c r="A15" t="s">
        <v>37</v>
      </c>
      <c r="B15" t="s">
        <v>36</v>
      </c>
      <c r="C15" t="str">
        <f t="shared" si="0"/>
        <v>PassedAdult_Spawner</v>
      </c>
      <c r="D15" s="177">
        <f>VLOOKUP(Model!$B$4,PassedAdult_Spawner!$A$3:$D$4,3,FALSE)</f>
        <v>0.87248322099999998</v>
      </c>
      <c r="E15" s="177">
        <f>VLOOKUP(Model!$B$4,PassedAdult_Spawner!$A$3:$D$4,4,FALSE)</f>
        <v>0.31474956378130858</v>
      </c>
      <c r="F15">
        <v>1E+20</v>
      </c>
      <c r="G15">
        <v>0</v>
      </c>
      <c r="H15">
        <v>99999999999</v>
      </c>
      <c r="I15">
        <v>99999999999</v>
      </c>
      <c r="J15">
        <v>1</v>
      </c>
      <c r="K15">
        <v>1</v>
      </c>
      <c r="L15">
        <v>1</v>
      </c>
      <c r="M15">
        <v>1</v>
      </c>
    </row>
    <row r="16" spans="1:13" ht="20" customHeight="1">
      <c r="A16" t="s">
        <v>40</v>
      </c>
      <c r="B16" t="s">
        <v>2</v>
      </c>
      <c r="C16" t="str">
        <f t="shared" si="0"/>
        <v>TotalSpawner_Egg</v>
      </c>
      <c r="D16">
        <f>Spawner_Egg_p!B3</f>
        <v>3831</v>
      </c>
      <c r="E16">
        <f>Spawner_Egg_p!C3</f>
        <v>102.34011921040546</v>
      </c>
      <c r="F16">
        <f>VLOOKUP(Settings!$B$5,Spawner_Egg_c!$A$3:$D$16,3,FALSE)</f>
        <v>22010640.4777859</v>
      </c>
      <c r="G16">
        <f>VLOOKUP(Settings!$B$5,Spawner_Egg_c!$A$3:$D$16,4,FALSE)</f>
        <v>8533906.2247610614</v>
      </c>
      <c r="H16">
        <v>99999999999</v>
      </c>
      <c r="I16">
        <v>99999999999</v>
      </c>
      <c r="J16">
        <v>1</v>
      </c>
      <c r="K16">
        <v>1</v>
      </c>
      <c r="L16">
        <v>1</v>
      </c>
      <c r="M16">
        <v>1</v>
      </c>
    </row>
    <row r="17" spans="1:13">
      <c r="A17" t="s">
        <v>306</v>
      </c>
      <c r="B17" t="s">
        <v>33</v>
      </c>
      <c r="C17" t="str">
        <f t="shared" si="0"/>
        <v>TotalBrood_HatchRelease</v>
      </c>
      <c r="D17">
        <f>VLOOKUP(Model!$B$4,TotalBrood_HatchRelease!$A$3:$D$4,3,FALSE)</f>
        <v>1226.0423529411764</v>
      </c>
      <c r="E17">
        <f>VLOOKUP(Model!$B$4,TotalBrood_HatchRelease!$A$3:$D$4,4,FALSE)</f>
        <v>397.82866088332918</v>
      </c>
      <c r="F17">
        <v>1E+20</v>
      </c>
      <c r="G17">
        <v>0</v>
      </c>
      <c r="H17">
        <v>99999999999</v>
      </c>
      <c r="I17">
        <v>99999999999</v>
      </c>
      <c r="J17">
        <v>1</v>
      </c>
      <c r="K17">
        <v>1</v>
      </c>
      <c r="L17">
        <v>1</v>
      </c>
      <c r="M17">
        <v>1</v>
      </c>
    </row>
  </sheetData>
  <pageMargins left="0.7" right="0.7" top="0.75" bottom="0.75" header="0.3" footer="0.3"/>
  <pageSetup orientation="portrait" horizontalDpi="0" verticalDpi="0"/>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66D7E1-8EA8-A941-AEED-95693778E45B}">
  <sheetPr codeName="Sheet3">
    <tabColor rgb="FFFF0000"/>
  </sheetPr>
  <dimension ref="A1:D11"/>
  <sheetViews>
    <sheetView zoomScale="144" zoomScaleNormal="144" workbookViewId="0">
      <selection sqref="A1:XFD1048576"/>
    </sheetView>
  </sheetViews>
  <sheetFormatPr baseColWidth="10" defaultColWidth="11" defaultRowHeight="16"/>
  <cols>
    <col min="1" max="1" width="18.83203125" bestFit="1" customWidth="1"/>
    <col min="2" max="2" width="20.6640625" customWidth="1"/>
  </cols>
  <sheetData>
    <row r="1" spans="1:4">
      <c r="A1" s="89" t="s">
        <v>159</v>
      </c>
      <c r="B1" s="89" t="s">
        <v>160</v>
      </c>
      <c r="C1" t="s">
        <v>249</v>
      </c>
    </row>
    <row r="2" spans="1:4">
      <c r="A2" s="89" t="s">
        <v>236</v>
      </c>
      <c r="B2" s="89" t="str">
        <f>Model!B3</f>
        <v>Clim</v>
      </c>
      <c r="C2" t="s">
        <v>250</v>
      </c>
      <c r="D2" s="191"/>
    </row>
    <row r="3" spans="1:4">
      <c r="A3" t="s">
        <v>23</v>
      </c>
      <c r="B3" t="str">
        <f>Model!B4</f>
        <v>UGR</v>
      </c>
      <c r="C3" t="s">
        <v>250</v>
      </c>
      <c r="D3" s="191"/>
    </row>
    <row r="4" spans="1:4">
      <c r="A4" t="s">
        <v>13</v>
      </c>
      <c r="B4" t="str">
        <f>Model!B5</f>
        <v>Clim</v>
      </c>
      <c r="C4" t="s">
        <v>250</v>
      </c>
      <c r="D4" s="191"/>
    </row>
    <row r="5" spans="1:4">
      <c r="A5" t="s">
        <v>246</v>
      </c>
      <c r="B5" t="str">
        <f>Model!B4&amp;"-"&amp;Model!B5</f>
        <v>UGR-Clim</v>
      </c>
      <c r="C5" t="s">
        <v>250</v>
      </c>
      <c r="D5" s="191"/>
    </row>
    <row r="6" spans="1:4">
      <c r="A6" t="s">
        <v>11</v>
      </c>
      <c r="B6">
        <f>Model!B6</f>
        <v>200</v>
      </c>
      <c r="C6" t="s">
        <v>251</v>
      </c>
      <c r="D6" s="191"/>
    </row>
    <row r="7" spans="1:4">
      <c r="A7" t="s">
        <v>12</v>
      </c>
      <c r="B7">
        <f>Model!B7</f>
        <v>200</v>
      </c>
      <c r="C7" t="s">
        <v>251</v>
      </c>
      <c r="D7" s="191"/>
    </row>
    <row r="8" spans="1:4">
      <c r="A8" t="s">
        <v>26</v>
      </c>
      <c r="B8">
        <f>Model!B8</f>
        <v>100000</v>
      </c>
      <c r="C8" t="s">
        <v>251</v>
      </c>
      <c r="D8" s="191"/>
    </row>
    <row r="9" spans="1:4">
      <c r="A9" t="s">
        <v>27</v>
      </c>
      <c r="B9">
        <f>Model!B9</f>
        <v>100000</v>
      </c>
      <c r="C9" t="s">
        <v>251</v>
      </c>
      <c r="D9" s="191"/>
    </row>
    <row r="10" spans="1:4">
      <c r="A10" t="s">
        <v>237</v>
      </c>
      <c r="B10">
        <f>Model!B10</f>
        <v>200</v>
      </c>
      <c r="C10" t="s">
        <v>251</v>
      </c>
      <c r="D10" s="191"/>
    </row>
    <row r="11" spans="1:4">
      <c r="A11" t="s">
        <v>52</v>
      </c>
      <c r="B11" t="str">
        <f>Model!B11</f>
        <v>ON</v>
      </c>
      <c r="C11" t="s">
        <v>250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B593A5-946C-8B40-9A4E-67FA02D145F0}">
  <sheetPr codeName="Sheet4">
    <tabColor rgb="FFFF0000"/>
  </sheetPr>
  <dimension ref="A1"/>
  <sheetViews>
    <sheetView workbookViewId="0">
      <selection activeCell="G45" sqref="G45"/>
    </sheetView>
  </sheetViews>
  <sheetFormatPr baseColWidth="10" defaultColWidth="11" defaultRowHeight="16"/>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83A20-8A0E-6540-BF9C-53A522DA07BA}">
  <dimension ref="A8:AE122"/>
  <sheetViews>
    <sheetView zoomScale="131" zoomScaleNormal="131" workbookViewId="0">
      <selection activeCell="E32" sqref="E32"/>
    </sheetView>
  </sheetViews>
  <sheetFormatPr baseColWidth="10" defaultColWidth="8.83203125" defaultRowHeight="16"/>
  <cols>
    <col min="3" max="3" width="9.6640625" bestFit="1" customWidth="1"/>
    <col min="4" max="4" width="16.1640625" bestFit="1" customWidth="1"/>
    <col min="6" max="6" width="2.6640625" customWidth="1"/>
    <col min="8" max="8" width="13.6640625" customWidth="1"/>
    <col min="26" max="26" width="19.33203125" customWidth="1"/>
    <col min="27" max="27" width="21" customWidth="1"/>
  </cols>
  <sheetData>
    <row r="8" spans="1:31">
      <c r="A8" s="105" t="s">
        <v>205</v>
      </c>
      <c r="D8" s="172" t="s">
        <v>307</v>
      </c>
      <c r="W8" s="105" t="s">
        <v>275</v>
      </c>
      <c r="Z8" s="172" t="s">
        <v>307</v>
      </c>
    </row>
    <row r="9" spans="1:31">
      <c r="D9" t="s">
        <v>308</v>
      </c>
      <c r="E9" s="173">
        <v>108086.71860770251</v>
      </c>
      <c r="G9" s="260" t="s">
        <v>309</v>
      </c>
      <c r="Z9" t="s">
        <v>308</v>
      </c>
      <c r="AA9" s="173">
        <v>111896.50152529828</v>
      </c>
    </row>
    <row r="10" spans="1:31">
      <c r="A10" s="261"/>
      <c r="D10" s="262" t="s">
        <v>213</v>
      </c>
      <c r="E10" s="173">
        <v>339096.24943666486</v>
      </c>
      <c r="G10" s="263" t="s">
        <v>310</v>
      </c>
      <c r="I10" s="263" t="s">
        <v>311</v>
      </c>
      <c r="M10" s="263" t="s">
        <v>312</v>
      </c>
      <c r="Z10" s="262" t="s">
        <v>213</v>
      </c>
      <c r="AA10" s="173">
        <v>354784.93584236997</v>
      </c>
    </row>
    <row r="11" spans="1:31">
      <c r="D11" t="s">
        <v>313</v>
      </c>
      <c r="E11">
        <f>E9/E10</f>
        <v>0.31874937805199921</v>
      </c>
      <c r="Z11" t="s">
        <v>313</v>
      </c>
      <c r="AA11">
        <f>AA9/AA10</f>
        <v>0.31539248209516318</v>
      </c>
    </row>
    <row r="12" spans="1:31">
      <c r="D12" s="262" t="s">
        <v>214</v>
      </c>
      <c r="E12" s="264">
        <f>SUM(E16:E26)</f>
        <v>3.1694893091229708</v>
      </c>
      <c r="Z12" s="262" t="s">
        <v>214</v>
      </c>
      <c r="AA12" s="265">
        <f>SUM(AA16:AA37)</f>
        <v>3.7300075281047365</v>
      </c>
    </row>
    <row r="13" spans="1:31">
      <c r="D13" s="266" t="s">
        <v>314</v>
      </c>
      <c r="E13" s="267">
        <f>E12/COUNT(C16:C26)</f>
        <v>0.28813539173845187</v>
      </c>
      <c r="Z13" s="266" t="s">
        <v>314</v>
      </c>
      <c r="AA13" s="267">
        <f>AA12/COUNT(Y16:Y37)</f>
        <v>0.16954579673203349</v>
      </c>
    </row>
    <row r="14" spans="1:31">
      <c r="D14" s="268" t="s">
        <v>315</v>
      </c>
      <c r="E14" s="267">
        <f>SQRT(E13)</f>
        <v>0.53678244358254856</v>
      </c>
      <c r="G14" s="172" t="s">
        <v>316</v>
      </c>
      <c r="Z14" s="268" t="s">
        <v>315</v>
      </c>
      <c r="AA14" s="267">
        <f>SQRT(AA13)</f>
        <v>0.41175939179578341</v>
      </c>
    </row>
    <row r="15" spans="1:31" ht="72">
      <c r="A15" s="269" t="s">
        <v>252</v>
      </c>
      <c r="B15" s="269" t="s">
        <v>317</v>
      </c>
      <c r="C15" s="269" t="s">
        <v>318</v>
      </c>
      <c r="D15" s="269" t="s">
        <v>319</v>
      </c>
      <c r="E15" s="269" t="s">
        <v>320</v>
      </c>
      <c r="F15" s="269"/>
      <c r="G15" s="269" t="s">
        <v>317</v>
      </c>
      <c r="H15" s="269" t="s">
        <v>319</v>
      </c>
      <c r="I15" s="270" t="s">
        <v>321</v>
      </c>
      <c r="W15" s="269" t="s">
        <v>252</v>
      </c>
      <c r="X15" s="269" t="s">
        <v>317</v>
      </c>
      <c r="Y15" s="269" t="s">
        <v>318</v>
      </c>
      <c r="Z15" s="269" t="s">
        <v>319</v>
      </c>
      <c r="AA15" s="269" t="s">
        <v>320</v>
      </c>
      <c r="AB15" s="269"/>
      <c r="AC15" s="269" t="s">
        <v>317</v>
      </c>
      <c r="AD15" s="269" t="s">
        <v>319</v>
      </c>
      <c r="AE15" s="270" t="s">
        <v>321</v>
      </c>
    </row>
    <row r="16" spans="1:31">
      <c r="A16">
        <v>1992</v>
      </c>
      <c r="B16" s="173">
        <v>747045</v>
      </c>
      <c r="C16" s="173">
        <v>77466.791666666672</v>
      </c>
      <c r="D16" s="174">
        <f>LN($E$9)-LN($E$10+B16)</f>
        <v>-2.3074527009707086</v>
      </c>
      <c r="E16" s="174">
        <f>(LN(C16/B16)-D16)^2</f>
        <v>1.6955145776650644E-3</v>
      </c>
      <c r="F16" s="175"/>
      <c r="G16">
        <v>0</v>
      </c>
      <c r="H16" s="175">
        <f t="shared" ref="H16:H79" si="0">$E$9*G16/($E$10+G16)</f>
        <v>0</v>
      </c>
      <c r="I16" s="173">
        <f t="shared" ref="I16:I79" si="1">$E$9</f>
        <v>108086.71860770251</v>
      </c>
      <c r="W16">
        <v>1993</v>
      </c>
      <c r="X16">
        <v>492283.5</v>
      </c>
      <c r="Y16">
        <v>42333.831168831166</v>
      </c>
      <c r="Z16" s="174">
        <f>LN($AA$9)-LN($AA$10+X16)</f>
        <v>-2.0242071387796283</v>
      </c>
      <c r="AA16" s="174">
        <f>(LN(Y16/X16)-Z16)^2</f>
        <v>0.18426506935902662</v>
      </c>
      <c r="AB16" s="175"/>
      <c r="AC16">
        <v>0</v>
      </c>
      <c r="AD16" s="175">
        <f>$AA$9*AC16/($AA$10+AC16)</f>
        <v>0</v>
      </c>
      <c r="AE16" s="173">
        <f>$AA$9</f>
        <v>111896.50152529828</v>
      </c>
    </row>
    <row r="17" spans="1:31">
      <c r="A17">
        <v>1993</v>
      </c>
      <c r="B17" s="173">
        <v>626368.5</v>
      </c>
      <c r="C17" s="173">
        <v>125619.91907514451</v>
      </c>
      <c r="D17" s="174">
        <f t="shared" ref="D17:D26" si="2">LN($E$9)-LN($E$10+B17)</f>
        <v>-2.1896757360344754</v>
      </c>
      <c r="E17" s="174">
        <f t="shared" ref="E17:E26" si="3">(LN(C17/B17)-D17)^2</f>
        <v>0.33988633313130057</v>
      </c>
      <c r="F17" s="175"/>
      <c r="G17">
        <v>50000</v>
      </c>
      <c r="H17" s="175">
        <f t="shared" si="0"/>
        <v>13889.457783799111</v>
      </c>
      <c r="I17" s="173">
        <f t="shared" si="1"/>
        <v>108086.71860770251</v>
      </c>
      <c r="W17">
        <v>1994</v>
      </c>
      <c r="X17">
        <v>53634</v>
      </c>
      <c r="Y17">
        <v>10436.758122743682</v>
      </c>
      <c r="Z17" s="174">
        <f t="shared" ref="Z17:Z37" si="4">LN($AA$9)-LN($AA$10+X17)</f>
        <v>-1.2947191006038903</v>
      </c>
      <c r="AA17" s="174">
        <f t="shared" ref="AA17:AA37" si="5">(LN(Y17/X17)-Z17)^2</f>
        <v>0.11705299515760052</v>
      </c>
      <c r="AB17" s="175"/>
      <c r="AC17">
        <v>50000</v>
      </c>
      <c r="AD17" s="175">
        <f t="shared" ref="AD17:AD80" si="6">$AA$9*AC17/($AA$10+AC17)</f>
        <v>13821.722551561636</v>
      </c>
      <c r="AE17" s="173">
        <f t="shared" ref="AE17:AE80" si="7">$AA$9</f>
        <v>111896.50152529828</v>
      </c>
    </row>
    <row r="18" spans="1:31">
      <c r="A18">
        <v>2006</v>
      </c>
      <c r="B18" s="173">
        <v>101521.5</v>
      </c>
      <c r="C18" s="173">
        <v>17113</v>
      </c>
      <c r="D18" s="174">
        <f t="shared" si="2"/>
        <v>-1.4052438632483568</v>
      </c>
      <c r="E18" s="174">
        <f t="shared" si="3"/>
        <v>0.14076628061727148</v>
      </c>
      <c r="F18" s="175"/>
      <c r="G18">
        <v>100000</v>
      </c>
      <c r="H18" s="175">
        <f t="shared" si="0"/>
        <v>24615.723488044256</v>
      </c>
      <c r="I18" s="173">
        <f t="shared" si="1"/>
        <v>108086.71860770251</v>
      </c>
      <c r="W18">
        <v>1995</v>
      </c>
      <c r="X18">
        <v>65127</v>
      </c>
      <c r="Y18">
        <v>9324.738636363636</v>
      </c>
      <c r="Z18" s="174">
        <f t="shared" si="4"/>
        <v>-1.3224706621930977</v>
      </c>
      <c r="AA18" s="174">
        <f t="shared" si="5"/>
        <v>0.38588647155994599</v>
      </c>
      <c r="AB18" s="175"/>
      <c r="AC18">
        <v>100000</v>
      </c>
      <c r="AD18" s="175">
        <f t="shared" si="6"/>
        <v>24604.26735948044</v>
      </c>
      <c r="AE18" s="173">
        <f t="shared" si="7"/>
        <v>111896.50152529828</v>
      </c>
    </row>
    <row r="19" spans="1:31">
      <c r="A19">
        <v>2008</v>
      </c>
      <c r="B19" s="173">
        <v>149409</v>
      </c>
      <c r="C19" s="173">
        <v>36297.140425531921</v>
      </c>
      <c r="D19" s="174">
        <f t="shared" si="2"/>
        <v>-1.5084163624535787</v>
      </c>
      <c r="E19" s="174">
        <f t="shared" si="3"/>
        <v>8.7362319954207568E-3</v>
      </c>
      <c r="F19" s="175"/>
      <c r="G19">
        <v>150000</v>
      </c>
      <c r="H19" s="175">
        <f t="shared" si="0"/>
        <v>33148.910485061628</v>
      </c>
      <c r="I19" s="173">
        <f t="shared" si="1"/>
        <v>108086.71860770251</v>
      </c>
      <c r="W19">
        <v>1996</v>
      </c>
      <c r="X19">
        <v>65127</v>
      </c>
      <c r="Y19">
        <v>14878.175355450237</v>
      </c>
      <c r="Z19" s="174">
        <f t="shared" si="4"/>
        <v>-1.3224706621930977</v>
      </c>
      <c r="AA19" s="174">
        <f t="shared" si="5"/>
        <v>2.370773081538767E-2</v>
      </c>
      <c r="AB19" s="175"/>
      <c r="AC19">
        <v>150000</v>
      </c>
      <c r="AD19" s="175">
        <f t="shared" si="6"/>
        <v>33250.745093621532</v>
      </c>
      <c r="AE19" s="173">
        <f t="shared" si="7"/>
        <v>111896.50152529828</v>
      </c>
    </row>
    <row r="20" spans="1:31">
      <c r="A20">
        <v>2009</v>
      </c>
      <c r="B20" s="173">
        <v>181972.5</v>
      </c>
      <c r="C20" s="173">
        <v>70211.736000000004</v>
      </c>
      <c r="D20" s="174">
        <f t="shared" si="2"/>
        <v>-1.5729481347365155</v>
      </c>
      <c r="E20" s="174">
        <f t="shared" si="3"/>
        <v>0.3851543325150224</v>
      </c>
      <c r="F20" s="175"/>
      <c r="G20">
        <v>200000</v>
      </c>
      <c r="H20" s="175">
        <f t="shared" si="0"/>
        <v>40099.228559148396</v>
      </c>
      <c r="I20" s="173">
        <f t="shared" si="1"/>
        <v>108086.71860770251</v>
      </c>
      <c r="W20">
        <v>1997</v>
      </c>
      <c r="X20">
        <v>137916</v>
      </c>
      <c r="Y20">
        <v>38203.859872611465</v>
      </c>
      <c r="Z20" s="174">
        <f t="shared" si="4"/>
        <v>-1.482328018431005</v>
      </c>
      <c r="AA20" s="174">
        <f t="shared" si="5"/>
        <v>3.944981245884506E-2</v>
      </c>
      <c r="AB20" s="175"/>
      <c r="AC20">
        <v>200000</v>
      </c>
      <c r="AD20" s="175">
        <f t="shared" si="6"/>
        <v>40338.69497750431</v>
      </c>
      <c r="AE20" s="173">
        <f t="shared" si="7"/>
        <v>111896.50152529828</v>
      </c>
    </row>
    <row r="21" spans="1:31">
      <c r="A21">
        <v>2010</v>
      </c>
      <c r="B21" s="173">
        <v>3913366.5</v>
      </c>
      <c r="C21" s="173">
        <v>227463.30120481929</v>
      </c>
      <c r="D21" s="174">
        <f t="shared" si="2"/>
        <v>-3.6723197095423874</v>
      </c>
      <c r="E21" s="174">
        <f t="shared" si="3"/>
        <v>0.68418595907023183</v>
      </c>
      <c r="F21" s="175"/>
      <c r="G21">
        <v>250000</v>
      </c>
      <c r="H21" s="175">
        <f t="shared" si="0"/>
        <v>45869.719384167955</v>
      </c>
      <c r="I21" s="173">
        <f t="shared" si="1"/>
        <v>108086.71860770251</v>
      </c>
      <c r="W21">
        <v>1998</v>
      </c>
      <c r="X21">
        <v>174310.5</v>
      </c>
      <c r="Y21">
        <v>40393.192052980135</v>
      </c>
      <c r="Z21" s="174">
        <f t="shared" si="4"/>
        <v>-1.5535944730730069</v>
      </c>
      <c r="AA21" s="174">
        <f t="shared" si="5"/>
        <v>8.3571663681796856E-3</v>
      </c>
      <c r="AB21" s="175"/>
      <c r="AC21">
        <v>250000</v>
      </c>
      <c r="AD21" s="175">
        <f t="shared" si="6"/>
        <v>46254.666284571111</v>
      </c>
      <c r="AE21" s="173">
        <f t="shared" si="7"/>
        <v>111896.50152529828</v>
      </c>
    </row>
    <row r="22" spans="1:31">
      <c r="A22">
        <v>2011</v>
      </c>
      <c r="B22" s="173">
        <v>1656907.5</v>
      </c>
      <c r="C22" s="173">
        <v>56714.081632653055</v>
      </c>
      <c r="D22" s="174">
        <f t="shared" si="2"/>
        <v>-2.9159684803413395</v>
      </c>
      <c r="E22" s="174">
        <f t="shared" si="3"/>
        <v>0.21042144988806546</v>
      </c>
      <c r="F22" s="175"/>
      <c r="G22">
        <v>300000</v>
      </c>
      <c r="H22" s="175">
        <f t="shared" si="0"/>
        <v>50737.296003368589</v>
      </c>
      <c r="I22" s="173">
        <f t="shared" si="1"/>
        <v>108086.71860770251</v>
      </c>
      <c r="W22">
        <v>1999</v>
      </c>
      <c r="X22">
        <v>155155.5</v>
      </c>
      <c r="Y22">
        <v>41091.034482758623</v>
      </c>
      <c r="Z22" s="174">
        <f t="shared" si="4"/>
        <v>-1.5167195758983336</v>
      </c>
      <c r="AA22" s="174">
        <f t="shared" si="5"/>
        <v>3.5374723869221428E-2</v>
      </c>
      <c r="AB22" s="175"/>
      <c r="AC22">
        <v>300000</v>
      </c>
      <c r="AD22" s="175">
        <f t="shared" si="6"/>
        <v>51267.139208698485</v>
      </c>
      <c r="AE22" s="173">
        <f t="shared" si="7"/>
        <v>111896.50152529828</v>
      </c>
    </row>
    <row r="23" spans="1:31">
      <c r="A23">
        <v>2012</v>
      </c>
      <c r="B23" s="173">
        <v>739383</v>
      </c>
      <c r="C23" s="173">
        <v>87176.098039215707</v>
      </c>
      <c r="D23" s="174">
        <f t="shared" si="2"/>
        <v>-2.3003733704334479</v>
      </c>
      <c r="E23" s="174">
        <f t="shared" si="3"/>
        <v>2.640218898749774E-2</v>
      </c>
      <c r="F23" s="175"/>
      <c r="G23">
        <v>350000</v>
      </c>
      <c r="H23" s="175">
        <f t="shared" si="0"/>
        <v>54898.501542596023</v>
      </c>
      <c r="I23" s="173">
        <f t="shared" si="1"/>
        <v>108086.71860770251</v>
      </c>
      <c r="W23">
        <v>2000</v>
      </c>
      <c r="X23">
        <v>93859.5</v>
      </c>
      <c r="Y23">
        <v>40463.440366972471</v>
      </c>
      <c r="Z23" s="174">
        <f t="shared" si="4"/>
        <v>-1.3886563211330998</v>
      </c>
      <c r="AA23" s="174">
        <f t="shared" si="5"/>
        <v>0.29948934548626338</v>
      </c>
      <c r="AB23" s="175"/>
      <c r="AC23">
        <v>350000</v>
      </c>
      <c r="AD23" s="175">
        <f t="shared" si="6"/>
        <v>55568.406108233918</v>
      </c>
      <c r="AE23" s="173">
        <f t="shared" si="7"/>
        <v>111896.50152529828</v>
      </c>
    </row>
    <row r="24" spans="1:31">
      <c r="A24">
        <v>2013</v>
      </c>
      <c r="B24" s="173">
        <v>605298</v>
      </c>
      <c r="C24" s="173">
        <v>23767.854430379746</v>
      </c>
      <c r="D24" s="174">
        <f t="shared" si="2"/>
        <v>-2.1676098610709182</v>
      </c>
      <c r="E24" s="174">
        <f t="shared" si="3"/>
        <v>1.1444228813743509</v>
      </c>
      <c r="F24" s="175"/>
      <c r="G24">
        <v>400000</v>
      </c>
      <c r="H24" s="175">
        <f t="shared" si="0"/>
        <v>58496.694410280455</v>
      </c>
      <c r="I24" s="173">
        <f t="shared" si="1"/>
        <v>108086.71860770251</v>
      </c>
      <c r="W24">
        <v>2001</v>
      </c>
      <c r="X24">
        <v>683833.5</v>
      </c>
      <c r="Y24">
        <v>71272.800000000003</v>
      </c>
      <c r="Z24" s="174">
        <f t="shared" si="4"/>
        <v>-2.2280723313859898</v>
      </c>
      <c r="AA24" s="174">
        <f t="shared" si="5"/>
        <v>1.0974224836109959E-3</v>
      </c>
      <c r="AB24" s="175"/>
      <c r="AC24">
        <v>400000</v>
      </c>
      <c r="AD24" s="175">
        <f t="shared" si="6"/>
        <v>59299.806454360332</v>
      </c>
      <c r="AE24" s="173">
        <f t="shared" si="7"/>
        <v>111896.50152529828</v>
      </c>
    </row>
    <row r="25" spans="1:31">
      <c r="A25">
        <v>2014</v>
      </c>
      <c r="B25" s="173">
        <v>2352234</v>
      </c>
      <c r="C25" s="173">
        <v>58770.000000000007</v>
      </c>
      <c r="D25" s="174">
        <f t="shared" si="2"/>
        <v>-3.2148570118785056</v>
      </c>
      <c r="E25" s="174">
        <f t="shared" si="3"/>
        <v>0.22527578352616548</v>
      </c>
      <c r="F25" s="175"/>
      <c r="G25">
        <v>450000</v>
      </c>
      <c r="H25" s="175">
        <f t="shared" si="0"/>
        <v>61638.898180278375</v>
      </c>
      <c r="I25" s="173">
        <f t="shared" si="1"/>
        <v>108086.71860770251</v>
      </c>
      <c r="W25">
        <v>2002</v>
      </c>
      <c r="X25">
        <v>762369</v>
      </c>
      <c r="Y25">
        <v>153077.94444444447</v>
      </c>
      <c r="Z25" s="174">
        <f t="shared" si="4"/>
        <v>-2.3009652508959935</v>
      </c>
      <c r="AA25" s="174">
        <f t="shared" si="5"/>
        <v>0.48369492430807559</v>
      </c>
      <c r="AB25" s="175"/>
      <c r="AC25">
        <v>450000</v>
      </c>
      <c r="AD25" s="175">
        <f t="shared" si="6"/>
        <v>62567.554937741479</v>
      </c>
      <c r="AE25" s="173">
        <f t="shared" si="7"/>
        <v>111896.50152529828</v>
      </c>
    </row>
    <row r="26" spans="1:31">
      <c r="A26">
        <v>2015</v>
      </c>
      <c r="B26">
        <v>2045754</v>
      </c>
      <c r="C26">
        <v>97513</v>
      </c>
      <c r="D26" s="174">
        <f t="shared" si="2"/>
        <v>-3.0939577578514168</v>
      </c>
      <c r="E26" s="174">
        <f t="shared" si="3"/>
        <v>2.5423534399790855E-3</v>
      </c>
      <c r="G26">
        <v>500000</v>
      </c>
      <c r="H26" s="175">
        <f t="shared" si="0"/>
        <v>64406.62717791168</v>
      </c>
      <c r="I26" s="173">
        <f t="shared" si="1"/>
        <v>108086.71860770251</v>
      </c>
      <c r="W26">
        <v>2003</v>
      </c>
      <c r="X26">
        <v>766200</v>
      </c>
      <c r="Y26">
        <v>151046.92982456138</v>
      </c>
      <c r="Z26" s="174">
        <f t="shared" si="4"/>
        <v>-2.3043886343061413</v>
      </c>
      <c r="AA26" s="174">
        <f t="shared" si="5"/>
        <v>0.46312922566632136</v>
      </c>
      <c r="AB26" s="175"/>
      <c r="AC26">
        <v>500000</v>
      </c>
      <c r="AD26" s="175">
        <f t="shared" si="6"/>
        <v>65453.014456219316</v>
      </c>
      <c r="AE26" s="173">
        <f t="shared" si="7"/>
        <v>111896.50152529828</v>
      </c>
    </row>
    <row r="27" spans="1:31">
      <c r="G27">
        <v>550000</v>
      </c>
      <c r="H27" s="175">
        <f t="shared" si="0"/>
        <v>66863.059282842209</v>
      </c>
      <c r="I27" s="173">
        <f t="shared" si="1"/>
        <v>108086.71860770251</v>
      </c>
      <c r="W27">
        <v>2004</v>
      </c>
      <c r="X27">
        <v>390762</v>
      </c>
      <c r="Y27">
        <v>57927.491228070168</v>
      </c>
      <c r="Z27" s="174">
        <f t="shared" si="4"/>
        <v>-1.8965437405660595</v>
      </c>
      <c r="AA27" s="174">
        <f t="shared" si="5"/>
        <v>1.5284033758020425E-4</v>
      </c>
      <c r="AB27" s="175"/>
      <c r="AC27">
        <v>550000</v>
      </c>
      <c r="AD27" s="175">
        <f t="shared" si="6"/>
        <v>68019.562882771061</v>
      </c>
      <c r="AE27" s="173">
        <f t="shared" si="7"/>
        <v>111896.50152529828</v>
      </c>
    </row>
    <row r="28" spans="1:31">
      <c r="G28">
        <v>600000</v>
      </c>
      <c r="H28" s="175">
        <f t="shared" si="0"/>
        <v>69057.917336507584</v>
      </c>
      <c r="I28" s="173">
        <f t="shared" si="1"/>
        <v>108086.71860770251</v>
      </c>
      <c r="W28">
        <v>2005</v>
      </c>
      <c r="X28">
        <v>256677</v>
      </c>
      <c r="Y28">
        <v>74225.190476190488</v>
      </c>
      <c r="Z28" s="174">
        <f t="shared" si="4"/>
        <v>-1.6982783554649199</v>
      </c>
      <c r="AA28" s="174">
        <f t="shared" si="5"/>
        <v>0.20936431736656599</v>
      </c>
      <c r="AB28" s="175"/>
      <c r="AC28">
        <v>600000</v>
      </c>
      <c r="AD28" s="175">
        <f t="shared" si="6"/>
        <v>70317.302247700194</v>
      </c>
      <c r="AE28" s="173">
        <f t="shared" si="7"/>
        <v>111896.50152529828</v>
      </c>
    </row>
    <row r="29" spans="1:31">
      <c r="G29">
        <v>650000</v>
      </c>
      <c r="H29" s="175">
        <f t="shared" si="0"/>
        <v>71030.869983604556</v>
      </c>
      <c r="I29" s="173">
        <f t="shared" si="1"/>
        <v>108086.71860770251</v>
      </c>
      <c r="W29">
        <v>2006</v>
      </c>
      <c r="X29">
        <v>459720</v>
      </c>
      <c r="Y29">
        <v>66042.824999999997</v>
      </c>
      <c r="Z29" s="174">
        <f t="shared" si="4"/>
        <v>-1.9850061374564891</v>
      </c>
      <c r="AA29" s="174">
        <f t="shared" si="5"/>
        <v>1.9973680884955592E-3</v>
      </c>
      <c r="AB29" s="175"/>
      <c r="AC29">
        <v>650000</v>
      </c>
      <c r="AD29" s="175">
        <f t="shared" si="6"/>
        <v>72386.361893918904</v>
      </c>
      <c r="AE29" s="173">
        <f t="shared" si="7"/>
        <v>111896.50152529828</v>
      </c>
    </row>
    <row r="30" spans="1:31">
      <c r="G30">
        <v>700000</v>
      </c>
      <c r="H30" s="175">
        <f t="shared" si="0"/>
        <v>72813.950648373924</v>
      </c>
      <c r="I30" s="173">
        <f t="shared" si="1"/>
        <v>108086.71860770251</v>
      </c>
      <c r="W30">
        <v>2007</v>
      </c>
      <c r="X30">
        <v>312226.5</v>
      </c>
      <c r="Y30">
        <v>46474.068027210888</v>
      </c>
      <c r="Z30" s="174">
        <f t="shared" si="4"/>
        <v>-1.7852328404262803</v>
      </c>
      <c r="AA30" s="174">
        <f t="shared" si="5"/>
        <v>1.4304534431652832E-2</v>
      </c>
      <c r="AB30" s="175"/>
      <c r="AC30">
        <v>700000</v>
      </c>
      <c r="AD30" s="175">
        <f t="shared" si="6"/>
        <v>74259.262154853423</v>
      </c>
      <c r="AE30" s="173">
        <f t="shared" si="7"/>
        <v>111896.50152529828</v>
      </c>
    </row>
    <row r="31" spans="1:31">
      <c r="G31">
        <v>750000</v>
      </c>
      <c r="H31" s="175">
        <f t="shared" si="0"/>
        <v>74433.310185126233</v>
      </c>
      <c r="I31" s="173">
        <f t="shared" si="1"/>
        <v>108086.71860770251</v>
      </c>
      <c r="W31">
        <v>2008</v>
      </c>
      <c r="X31">
        <v>385015.5</v>
      </c>
      <c r="Y31">
        <v>103336.14953271029</v>
      </c>
      <c r="Z31" s="174">
        <f t="shared" si="4"/>
        <v>-1.8888061180002556</v>
      </c>
      <c r="AA31" s="174">
        <f t="shared" si="5"/>
        <v>0.32891347551487116</v>
      </c>
      <c r="AB31" s="175"/>
      <c r="AC31">
        <v>750000</v>
      </c>
      <c r="AD31" s="175">
        <f t="shared" si="6"/>
        <v>75962.636184919626</v>
      </c>
      <c r="AE31" s="173">
        <f t="shared" si="7"/>
        <v>111896.50152529828</v>
      </c>
    </row>
    <row r="32" spans="1:31">
      <c r="G32">
        <v>800000</v>
      </c>
      <c r="H32" s="175">
        <f t="shared" si="0"/>
        <v>75910.507939013114</v>
      </c>
      <c r="I32" s="173">
        <f t="shared" si="1"/>
        <v>108086.71860770251</v>
      </c>
      <c r="W32">
        <v>2009</v>
      </c>
      <c r="X32">
        <v>367776</v>
      </c>
      <c r="Y32">
        <v>24731.671875</v>
      </c>
      <c r="Z32" s="174">
        <f t="shared" si="4"/>
        <v>-1.8652274061630774</v>
      </c>
      <c r="AA32" s="174">
        <f t="shared" si="5"/>
        <v>0.69582618658805673</v>
      </c>
      <c r="AB32" s="175"/>
      <c r="AC32">
        <v>800000</v>
      </c>
      <c r="AD32" s="175">
        <f t="shared" si="6"/>
        <v>77518.504478012939</v>
      </c>
      <c r="AE32" s="173">
        <f t="shared" si="7"/>
        <v>111896.50152529828</v>
      </c>
    </row>
    <row r="33" spans="7:31">
      <c r="G33">
        <v>850000</v>
      </c>
      <c r="H33" s="175">
        <f t="shared" si="0"/>
        <v>77263.477081920297</v>
      </c>
      <c r="I33" s="173">
        <f t="shared" si="1"/>
        <v>108086.71860770251</v>
      </c>
      <c r="W33">
        <v>2010</v>
      </c>
      <c r="X33">
        <v>1750767</v>
      </c>
      <c r="Y33">
        <v>116382.18965517241</v>
      </c>
      <c r="Z33" s="174">
        <f t="shared" si="4"/>
        <v>-2.9347585635145546</v>
      </c>
      <c r="AA33" s="174">
        <f t="shared" si="5"/>
        <v>5.0099340956563633E-2</v>
      </c>
      <c r="AB33" s="175"/>
      <c r="AC33">
        <v>850000</v>
      </c>
      <c r="AD33" s="175">
        <f t="shared" si="6"/>
        <v>78945.232021848322</v>
      </c>
      <c r="AE33" s="173">
        <f t="shared" si="7"/>
        <v>111896.50152529828</v>
      </c>
    </row>
    <row r="34" spans="7:31">
      <c r="G34">
        <v>900000</v>
      </c>
      <c r="H34" s="175">
        <f t="shared" si="0"/>
        <v>78507.2562290122</v>
      </c>
      <c r="I34" s="173">
        <f t="shared" si="1"/>
        <v>108086.71860770251</v>
      </c>
      <c r="W34">
        <v>2011</v>
      </c>
      <c r="X34">
        <v>2130036</v>
      </c>
      <c r="Y34">
        <v>77210.450980392168</v>
      </c>
      <c r="Z34" s="174">
        <f t="shared" si="4"/>
        <v>-3.1003815273899811</v>
      </c>
      <c r="AA34" s="174">
        <f t="shared" si="5"/>
        <v>4.7079369736058009E-2</v>
      </c>
      <c r="AB34" s="175"/>
      <c r="AC34">
        <v>900000</v>
      </c>
      <c r="AD34" s="175">
        <f t="shared" si="6"/>
        <v>80258.25661125053</v>
      </c>
      <c r="AE34" s="173">
        <f t="shared" si="7"/>
        <v>111896.50152529828</v>
      </c>
    </row>
    <row r="35" spans="7:31">
      <c r="G35">
        <v>950000</v>
      </c>
      <c r="H35" s="175">
        <f t="shared" si="0"/>
        <v>79654.550792611175</v>
      </c>
      <c r="I35" s="173">
        <f t="shared" si="1"/>
        <v>108086.71860770251</v>
      </c>
      <c r="W35">
        <v>2012</v>
      </c>
      <c r="X35">
        <v>1233582</v>
      </c>
      <c r="Y35">
        <v>75419.434782608689</v>
      </c>
      <c r="Z35" s="174">
        <f t="shared" si="4"/>
        <v>-2.6528873324924902</v>
      </c>
      <c r="AA35" s="174">
        <f t="shared" si="5"/>
        <v>2.008599865030395E-2</v>
      </c>
      <c r="AB35" s="175"/>
      <c r="AC35">
        <v>950000</v>
      </c>
      <c r="AD35" s="175">
        <f t="shared" si="6"/>
        <v>81470.649705504868</v>
      </c>
      <c r="AE35" s="173">
        <f t="shared" si="7"/>
        <v>111896.50152529828</v>
      </c>
    </row>
    <row r="36" spans="7:31">
      <c r="G36">
        <v>1000000</v>
      </c>
      <c r="H36" s="175">
        <f t="shared" si="0"/>
        <v>80716.168575016753</v>
      </c>
      <c r="I36" s="173">
        <f t="shared" si="1"/>
        <v>108086.71860770251</v>
      </c>
      <c r="W36">
        <v>2014</v>
      </c>
      <c r="X36">
        <v>1890598.5</v>
      </c>
      <c r="Y36">
        <v>65947</v>
      </c>
      <c r="Z36" s="174">
        <f t="shared" si="4"/>
        <v>-2.9990572305345857</v>
      </c>
      <c r="AA36" s="174">
        <f t="shared" si="5"/>
        <v>0.12726350246947593</v>
      </c>
      <c r="AB36" s="175"/>
      <c r="AC36">
        <v>1000000</v>
      </c>
      <c r="AD36" s="175">
        <f t="shared" si="6"/>
        <v>82593.553090936868</v>
      </c>
      <c r="AE36" s="173">
        <f t="shared" si="7"/>
        <v>111896.50152529828</v>
      </c>
    </row>
    <row r="37" spans="7:31">
      <c r="G37">
        <v>1050000</v>
      </c>
      <c r="H37" s="175">
        <f t="shared" si="0"/>
        <v>81701.36128732108</v>
      </c>
      <c r="I37" s="173">
        <f t="shared" si="1"/>
        <v>108086.71860770251</v>
      </c>
      <c r="W37">
        <v>2015</v>
      </c>
      <c r="X37">
        <v>919440</v>
      </c>
      <c r="Y37">
        <v>52011</v>
      </c>
      <c r="Z37" s="174">
        <f t="shared" si="4"/>
        <v>-2.4325190287600957</v>
      </c>
      <c r="AA37" s="174">
        <f t="shared" si="5"/>
        <v>0.19341570643263389</v>
      </c>
      <c r="AB37" s="175"/>
      <c r="AC37">
        <v>1050000</v>
      </c>
      <c r="AD37" s="175">
        <f t="shared" si="6"/>
        <v>83636.522291656205</v>
      </c>
      <c r="AE37" s="173">
        <f t="shared" si="7"/>
        <v>111896.50152529828</v>
      </c>
    </row>
    <row r="38" spans="7:31">
      <c r="G38">
        <v>1100000</v>
      </c>
      <c r="H38" s="175">
        <f t="shared" si="0"/>
        <v>82618.09487378932</v>
      </c>
      <c r="I38" s="173">
        <f t="shared" si="1"/>
        <v>108086.71860770251</v>
      </c>
      <c r="Z38" s="174"/>
      <c r="AA38" s="174"/>
      <c r="AB38" s="175"/>
      <c r="AC38">
        <v>1100000</v>
      </c>
      <c r="AD38" s="175">
        <f t="shared" si="6"/>
        <v>84607.799163494259</v>
      </c>
      <c r="AE38" s="173">
        <f t="shared" si="7"/>
        <v>111896.50152529828</v>
      </c>
    </row>
    <row r="39" spans="7:31">
      <c r="G39">
        <v>1150000</v>
      </c>
      <c r="H39" s="175">
        <f t="shared" si="0"/>
        <v>83473.265375479474</v>
      </c>
      <c r="I39" s="173">
        <f t="shared" si="1"/>
        <v>108086.71860770251</v>
      </c>
      <c r="Z39" s="174"/>
      <c r="AA39" s="174"/>
      <c r="AB39" s="175"/>
      <c r="AC39">
        <v>1150000</v>
      </c>
      <c r="AD39" s="175">
        <f t="shared" si="6"/>
        <v>85514.530142513802</v>
      </c>
      <c r="AE39" s="173">
        <f t="shared" si="7"/>
        <v>111896.50152529828</v>
      </c>
    </row>
    <row r="40" spans="7:31">
      <c r="G40">
        <v>1200000</v>
      </c>
      <c r="H40" s="175">
        <f t="shared" si="0"/>
        <v>84272.872717815335</v>
      </c>
      <c r="I40" s="173">
        <f t="shared" si="1"/>
        <v>108086.71860770251</v>
      </c>
      <c r="Z40" s="174"/>
      <c r="AA40" s="174"/>
      <c r="AB40" s="175"/>
      <c r="AC40">
        <v>1200000</v>
      </c>
      <c r="AD40" s="175">
        <f t="shared" si="6"/>
        <v>86362.942381872504</v>
      </c>
      <c r="AE40" s="173">
        <f t="shared" si="7"/>
        <v>111896.50152529828</v>
      </c>
    </row>
    <row r="41" spans="7:31">
      <c r="G41">
        <v>1250000</v>
      </c>
      <c r="H41" s="175">
        <f t="shared" si="0"/>
        <v>85022.161689403089</v>
      </c>
      <c r="I41" s="173">
        <f t="shared" si="1"/>
        <v>108086.71860770251</v>
      </c>
      <c r="Z41" s="174"/>
      <c r="AA41" s="174"/>
      <c r="AB41" s="175"/>
      <c r="AC41">
        <v>1250000</v>
      </c>
      <c r="AD41" s="175">
        <f t="shared" si="6"/>
        <v>87158.486961496295</v>
      </c>
      <c r="AE41" s="173">
        <f t="shared" si="7"/>
        <v>111896.50152529828</v>
      </c>
    </row>
    <row r="42" spans="7:31">
      <c r="G42">
        <v>1300000</v>
      </c>
      <c r="H42" s="175">
        <f t="shared" si="0"/>
        <v>85725.737117820623</v>
      </c>
      <c r="I42" s="173">
        <f t="shared" si="1"/>
        <v>108086.71860770251</v>
      </c>
      <c r="Z42" s="174"/>
      <c r="AA42" s="174"/>
      <c r="AB42" s="175"/>
      <c r="AC42">
        <v>1300000</v>
      </c>
      <c r="AD42" s="175">
        <f t="shared" si="6"/>
        <v>87905.956134921202</v>
      </c>
      <c r="AE42" s="173">
        <f t="shared" si="7"/>
        <v>111896.50152529828</v>
      </c>
    </row>
    <row r="43" spans="7:31">
      <c r="G43">
        <v>1350000</v>
      </c>
      <c r="H43" s="175">
        <f t="shared" si="0"/>
        <v>86387.658589061204</v>
      </c>
      <c r="I43" s="173">
        <f t="shared" si="1"/>
        <v>108086.71860770251</v>
      </c>
      <c r="Z43" s="174"/>
      <c r="AA43" s="174"/>
      <c r="AB43" s="175"/>
      <c r="AC43">
        <v>1350000</v>
      </c>
      <c r="AD43" s="175">
        <f t="shared" si="6"/>
        <v>88609.579943590143</v>
      </c>
      <c r="AE43" s="173">
        <f t="shared" si="7"/>
        <v>111896.50152529828</v>
      </c>
    </row>
    <row r="44" spans="7:31">
      <c r="G44">
        <v>1400000</v>
      </c>
      <c r="H44" s="175">
        <f t="shared" si="0"/>
        <v>87011.518827552049</v>
      </c>
      <c r="I44" s="173">
        <f t="shared" si="1"/>
        <v>108086.71860770251</v>
      </c>
      <c r="Z44" s="174"/>
      <c r="AA44" s="174"/>
      <c r="AB44" s="175"/>
      <c r="AC44">
        <v>1400000</v>
      </c>
      <c r="AD44" s="175">
        <f t="shared" si="6"/>
        <v>89273.106313860975</v>
      </c>
      <c r="AE44" s="173">
        <f t="shared" si="7"/>
        <v>111896.50152529828</v>
      </c>
    </row>
    <row r="45" spans="7:31">
      <c r="G45">
        <v>1450000</v>
      </c>
      <c r="H45" s="175">
        <f t="shared" si="0"/>
        <v>87600.508933220946</v>
      </c>
      <c r="I45" s="173">
        <f t="shared" si="1"/>
        <v>108086.71860770251</v>
      </c>
      <c r="Z45" s="174"/>
      <c r="AA45" s="174"/>
      <c r="AB45" s="175"/>
      <c r="AC45">
        <v>1450000</v>
      </c>
      <c r="AD45" s="175">
        <f t="shared" si="6"/>
        <v>89899.867839906132</v>
      </c>
      <c r="AE45" s="173">
        <f t="shared" si="7"/>
        <v>111896.50152529828</v>
      </c>
    </row>
    <row r="46" spans="7:31">
      <c r="G46">
        <v>1500000</v>
      </c>
      <c r="H46" s="175">
        <f t="shared" si="0"/>
        <v>88157.472976858044</v>
      </c>
      <c r="I46" s="173">
        <f t="shared" si="1"/>
        <v>108086.71860770251</v>
      </c>
      <c r="Z46" s="174"/>
      <c r="AA46" s="174"/>
      <c r="AB46" s="175"/>
      <c r="AC46">
        <v>1500000</v>
      </c>
      <c r="AD46" s="175">
        <f t="shared" si="6"/>
        <v>90492.837764891039</v>
      </c>
      <c r="AE46" s="173">
        <f t="shared" si="7"/>
        <v>111896.50152529828</v>
      </c>
    </row>
    <row r="47" spans="7:31">
      <c r="G47">
        <v>1550000</v>
      </c>
      <c r="H47" s="175">
        <f t="shared" si="0"/>
        <v>88684.953925401234</v>
      </c>
      <c r="I47" s="173">
        <f t="shared" si="1"/>
        <v>108086.71860770251</v>
      </c>
      <c r="Z47" s="174"/>
      <c r="AA47" s="174"/>
      <c r="AB47" s="175"/>
      <c r="AC47">
        <v>1550000</v>
      </c>
      <c r="AD47" s="175">
        <f t="shared" si="6"/>
        <v>91054.677145223541</v>
      </c>
      <c r="AE47" s="173">
        <f t="shared" si="7"/>
        <v>111896.50152529828</v>
      </c>
    </row>
    <row r="48" spans="7:31">
      <c r="G48">
        <v>1600000</v>
      </c>
      <c r="H48" s="175">
        <f t="shared" si="0"/>
        <v>89185.232462063286</v>
      </c>
      <c r="I48" s="173">
        <f t="shared" si="1"/>
        <v>108086.71860770251</v>
      </c>
      <c r="Z48" s="174"/>
      <c r="AA48" s="174"/>
      <c r="AB48" s="175"/>
      <c r="AC48">
        <v>1600000</v>
      </c>
      <c r="AD48" s="175">
        <f t="shared" si="6"/>
        <v>91587.774776526232</v>
      </c>
      <c r="AE48" s="173">
        <f t="shared" si="7"/>
        <v>111896.50152529828</v>
      </c>
    </row>
    <row r="49" spans="7:31">
      <c r="G49">
        <v>1650000</v>
      </c>
      <c r="H49" s="175">
        <f t="shared" si="0"/>
        <v>89660.359951519669</v>
      </c>
      <c r="I49" s="173">
        <f t="shared" si="1"/>
        <v>108086.71860770251</v>
      </c>
      <c r="Z49" s="174"/>
      <c r="AA49" s="174"/>
      <c r="AB49" s="175"/>
      <c r="AC49">
        <v>1650000</v>
      </c>
      <c r="AD49" s="175">
        <f t="shared" si="6"/>
        <v>92094.281145007059</v>
      </c>
      <c r="AE49" s="173">
        <f t="shared" si="7"/>
        <v>111896.50152529828</v>
      </c>
    </row>
    <row r="50" spans="7:31">
      <c r="G50">
        <v>1700000</v>
      </c>
      <c r="H50" s="175">
        <f t="shared" si="0"/>
        <v>90112.186555125896</v>
      </c>
      <c r="I50" s="173">
        <f t="shared" si="1"/>
        <v>108086.71860770251</v>
      </c>
      <c r="Z50" s="174"/>
      <c r="AA50" s="174"/>
      <c r="AB50" s="175"/>
      <c r="AC50">
        <v>1700000</v>
      </c>
      <c r="AD50" s="175">
        <f t="shared" si="6"/>
        <v>92576.137421906751</v>
      </c>
      <c r="AE50" s="173">
        <f t="shared" si="7"/>
        <v>111896.50152529828</v>
      </c>
    </row>
    <row r="51" spans="7:31">
      <c r="G51">
        <v>1750000</v>
      </c>
      <c r="H51" s="175">
        <f t="shared" si="0"/>
        <v>90542.385308711891</v>
      </c>
      <c r="I51" s="173">
        <f t="shared" si="1"/>
        <v>108086.71860770251</v>
      </c>
      <c r="Z51" s="174"/>
      <c r="AA51" s="174"/>
      <c r="AB51" s="175"/>
      <c r="AC51">
        <v>1750000</v>
      </c>
      <c r="AD51" s="175">
        <f t="shared" si="6"/>
        <v>93035.100325298568</v>
      </c>
      <c r="AE51" s="173">
        <f t="shared" si="7"/>
        <v>111896.50152529828</v>
      </c>
    </row>
    <row r="52" spans="7:31">
      <c r="G52">
        <v>1800000</v>
      </c>
      <c r="H52" s="175">
        <f t="shared" si="0"/>
        <v>90952.472823558666</v>
      </c>
      <c r="I52" s="173">
        <f t="shared" si="1"/>
        <v>108086.71860770251</v>
      </c>
      <c r="Z52" s="174"/>
      <c r="AA52" s="174"/>
      <c r="AB52" s="175"/>
      <c r="AC52">
        <v>1800000</v>
      </c>
      <c r="AD52" s="175">
        <f t="shared" si="6"/>
        <v>93472.763520503388</v>
      </c>
      <c r="AE52" s="173">
        <f t="shared" si="7"/>
        <v>111896.50152529828</v>
      </c>
    </row>
    <row r="53" spans="7:31">
      <c r="G53">
        <v>1850000</v>
      </c>
      <c r="H53" s="175">
        <f t="shared" si="0"/>
        <v>91343.827150453901</v>
      </c>
      <c r="I53" s="173">
        <f t="shared" si="1"/>
        <v>108086.71860770251</v>
      </c>
      <c r="Z53" s="174"/>
      <c r="AA53" s="174"/>
      <c r="AB53" s="175"/>
      <c r="AC53">
        <v>1850000</v>
      </c>
      <c r="AD53" s="175">
        <f t="shared" si="6"/>
        <v>93890.576108599547</v>
      </c>
      <c r="AE53" s="173">
        <f t="shared" si="7"/>
        <v>111896.50152529828</v>
      </c>
    </row>
    <row r="54" spans="7:31">
      <c r="G54">
        <v>1900000</v>
      </c>
      <c r="H54" s="175">
        <f t="shared" si="0"/>
        <v>91717.703250274557</v>
      </c>
      <c r="I54" s="173">
        <f t="shared" si="1"/>
        <v>108086.71860770251</v>
      </c>
      <c r="Z54" s="174"/>
      <c r="AA54" s="174"/>
      <c r="AB54" s="175"/>
      <c r="AC54">
        <v>1900000</v>
      </c>
      <c r="AD54" s="175">
        <f t="shared" si="6"/>
        <v>94289.858655029457</v>
      </c>
      <c r="AE54" s="173">
        <f t="shared" si="7"/>
        <v>111896.50152529828</v>
      </c>
    </row>
    <row r="55" spans="7:31">
      <c r="G55">
        <v>1950000</v>
      </c>
      <c r="H55" s="175">
        <f t="shared" si="0"/>
        <v>92075.246437055292</v>
      </c>
      <c r="I55" s="173">
        <f t="shared" si="1"/>
        <v>108086.71860770251</v>
      </c>
      <c r="Z55" s="174"/>
      <c r="AA55" s="174"/>
      <c r="AB55" s="175"/>
      <c r="AC55">
        <v>1950000</v>
      </c>
      <c r="AD55" s="175">
        <f t="shared" si="6"/>
        <v>94671.817131858756</v>
      </c>
      <c r="AE55" s="173">
        <f t="shared" si="7"/>
        <v>111896.50152529828</v>
      </c>
    </row>
    <row r="56" spans="7:31">
      <c r="G56">
        <v>2000000</v>
      </c>
      <c r="H56" s="175">
        <f t="shared" si="0"/>
        <v>92417.504096920791</v>
      </c>
      <c r="I56" s="173">
        <f t="shared" si="1"/>
        <v>108086.71860770251</v>
      </c>
      <c r="Z56" s="174"/>
      <c r="AA56" s="174"/>
      <c r="AB56" s="175"/>
      <c r="AC56">
        <v>2000000</v>
      </c>
      <c r="AD56" s="175">
        <f t="shared" si="6"/>
        <v>95037.555083789324</v>
      </c>
      <c r="AE56" s="173">
        <f t="shared" si="7"/>
        <v>111896.50152529828</v>
      </c>
    </row>
    <row r="57" spans="7:31">
      <c r="G57">
        <v>2050000</v>
      </c>
      <c r="H57" s="175">
        <f t="shared" si="0"/>
        <v>92745.435935465939</v>
      </c>
      <c r="I57" s="173">
        <f t="shared" si="1"/>
        <v>108086.71860770251</v>
      </c>
      <c r="Z57" s="174"/>
      <c r="AA57" s="174"/>
      <c r="AB57" s="175"/>
      <c r="AC57">
        <v>2050000</v>
      </c>
      <c r="AD57" s="175">
        <f t="shared" si="6"/>
        <v>95388.084276446709</v>
      </c>
      <c r="AE57" s="173">
        <f t="shared" si="7"/>
        <v>111896.50152529828</v>
      </c>
    </row>
    <row r="58" spans="7:31">
      <c r="G58">
        <v>2100000</v>
      </c>
      <c r="H58" s="175">
        <f t="shared" si="0"/>
        <v>93059.922964745318</v>
      </c>
      <c r="I58" s="173">
        <f t="shared" si="1"/>
        <v>108086.71860770251</v>
      </c>
      <c r="Z58" s="174"/>
      <c r="AA58" s="174"/>
      <c r="AB58" s="175"/>
      <c r="AC58">
        <v>2100000</v>
      </c>
      <c r="AD58" s="175">
        <f t="shared" si="6"/>
        <v>95724.334043336916</v>
      </c>
      <c r="AE58" s="173">
        <f t="shared" si="7"/>
        <v>111896.50152529828</v>
      </c>
    </row>
    <row r="59" spans="7:31">
      <c r="G59">
        <v>2150000</v>
      </c>
      <c r="H59" s="175">
        <f t="shared" si="0"/>
        <v>93361.775407099805</v>
      </c>
      <c r="I59" s="173">
        <f t="shared" si="1"/>
        <v>108086.71860770251</v>
      </c>
      <c r="Z59" s="174"/>
      <c r="AA59" s="174"/>
      <c r="AB59" s="175"/>
      <c r="AC59">
        <v>2150000</v>
      </c>
      <c r="AD59" s="175">
        <f t="shared" si="6"/>
        <v>96047.159513311301</v>
      </c>
      <c r="AE59" s="173">
        <f t="shared" si="7"/>
        <v>111896.50152529828</v>
      </c>
    </row>
    <row r="60" spans="7:31">
      <c r="G60">
        <v>2200000</v>
      </c>
      <c r="H60" s="175">
        <f t="shared" si="0"/>
        <v>93651.739665128029</v>
      </c>
      <c r="I60" s="173">
        <f t="shared" si="1"/>
        <v>108086.71860770251</v>
      </c>
      <c r="Z60" s="174"/>
      <c r="AA60" s="174"/>
      <c r="AB60" s="175"/>
      <c r="AC60">
        <v>2200000</v>
      </c>
      <c r="AD60" s="175">
        <f t="shared" si="6"/>
        <v>96357.348871907161</v>
      </c>
      <c r="AE60" s="173">
        <f t="shared" si="7"/>
        <v>111896.50152529828</v>
      </c>
    </row>
    <row r="61" spans="7:31">
      <c r="G61">
        <v>2250000</v>
      </c>
      <c r="H61" s="175">
        <f t="shared" si="0"/>
        <v>93930.504484043428</v>
      </c>
      <c r="I61" s="173">
        <f t="shared" si="1"/>
        <v>108086.71860770251</v>
      </c>
      <c r="Z61" s="174"/>
      <c r="AA61" s="174"/>
      <c r="AB61" s="175"/>
      <c r="AC61">
        <v>2250000</v>
      </c>
      <c r="AD61" s="175">
        <f t="shared" si="6"/>
        <v>96655.629786380552</v>
      </c>
      <c r="AE61" s="173">
        <f t="shared" si="7"/>
        <v>111896.50152529828</v>
      </c>
    </row>
    <row r="62" spans="7:31">
      <c r="G62">
        <v>2300000</v>
      </c>
      <c r="H62" s="175">
        <f t="shared" si="0"/>
        <v>94198.706413523658</v>
      </c>
      <c r="I62" s="173">
        <f t="shared" si="1"/>
        <v>108086.71860770251</v>
      </c>
      <c r="Z62" s="174"/>
      <c r="AA62" s="174"/>
      <c r="AB62" s="175"/>
      <c r="AC62">
        <v>2300000</v>
      </c>
      <c r="AD62" s="175">
        <f t="shared" si="6"/>
        <v>96942.675104687703</v>
      </c>
      <c r="AE62" s="173">
        <f t="shared" si="7"/>
        <v>111896.50152529828</v>
      </c>
    </row>
    <row r="63" spans="7:31">
      <c r="G63">
        <v>2350000</v>
      </c>
      <c r="H63" s="175">
        <f t="shared" si="0"/>
        <v>94456.934660227125</v>
      </c>
      <c r="I63" s="173">
        <f t="shared" si="1"/>
        <v>108086.71860770251</v>
      </c>
      <c r="Z63" s="174"/>
      <c r="AA63" s="174"/>
      <c r="AB63" s="175"/>
      <c r="AC63">
        <v>2350000</v>
      </c>
      <c r="AD63" s="175">
        <f t="shared" si="6"/>
        <v>97219.10792236666</v>
      </c>
      <c r="AE63" s="173">
        <f t="shared" si="7"/>
        <v>111896.50152529828</v>
      </c>
    </row>
    <row r="64" spans="7:31">
      <c r="G64">
        <v>2400000</v>
      </c>
      <c r="H64" s="175">
        <f t="shared" si="0"/>
        <v>94705.735408836801</v>
      </c>
      <c r="I64" s="173">
        <f t="shared" si="1"/>
        <v>108086.71860770251</v>
      </c>
      <c r="Z64" s="174"/>
      <c r="AA64" s="174"/>
      <c r="AB64" s="175"/>
      <c r="AC64">
        <v>2400000</v>
      </c>
      <c r="AD64" s="175">
        <f t="shared" si="6"/>
        <v>97485.506097628269</v>
      </c>
      <c r="AE64" s="173">
        <f t="shared" si="7"/>
        <v>111896.50152529828</v>
      </c>
    </row>
    <row r="65" spans="7:31">
      <c r="G65">
        <v>2450000</v>
      </c>
      <c r="H65" s="175">
        <f t="shared" si="0"/>
        <v>94945.615678324961</v>
      </c>
      <c r="I65" s="173">
        <f t="shared" si="1"/>
        <v>108086.71860770251</v>
      </c>
      <c r="Z65" s="174"/>
      <c r="AA65" s="174"/>
      <c r="AB65" s="175"/>
      <c r="AC65">
        <v>2450000</v>
      </c>
      <c r="AD65" s="175">
        <f t="shared" si="6"/>
        <v>97742.40628351261</v>
      </c>
      <c r="AE65" s="173">
        <f t="shared" si="7"/>
        <v>111896.50152529828</v>
      </c>
    </row>
    <row r="66" spans="7:31">
      <c r="G66">
        <v>2500000</v>
      </c>
      <c r="H66" s="175">
        <f t="shared" si="0"/>
        <v>95177.04677073659</v>
      </c>
      <c r="I66" s="173">
        <f t="shared" si="1"/>
        <v>108086.71860770251</v>
      </c>
      <c r="Z66" s="174"/>
      <c r="AA66" s="174"/>
      <c r="AB66" s="175"/>
      <c r="AC66">
        <v>2500000</v>
      </c>
      <c r="AD66" s="175">
        <f t="shared" si="6"/>
        <v>97990.307536319408</v>
      </c>
      <c r="AE66" s="173">
        <f t="shared" si="7"/>
        <v>111896.50152529828</v>
      </c>
    </row>
    <row r="67" spans="7:31">
      <c r="G67">
        <v>2550000</v>
      </c>
      <c r="H67" s="175">
        <f t="shared" si="0"/>
        <v>95400.467361855408</v>
      </c>
      <c r="I67" s="173">
        <f t="shared" si="1"/>
        <v>108086.71860770251</v>
      </c>
      <c r="Z67" s="174"/>
      <c r="AA67" s="174"/>
      <c r="AB67" s="175"/>
      <c r="AC67">
        <v>2550000</v>
      </c>
      <c r="AD67" s="175">
        <f t="shared" si="6"/>
        <v>98229.674551367396</v>
      </c>
      <c r="AE67" s="173">
        <f t="shared" si="7"/>
        <v>111896.50152529828</v>
      </c>
    </row>
    <row r="68" spans="7:31">
      <c r="G68">
        <v>2600000</v>
      </c>
      <c r="H68" s="175">
        <f t="shared" si="0"/>
        <v>95616.286276398925</v>
      </c>
      <c r="I68" s="173">
        <f t="shared" si="1"/>
        <v>108086.71860770251</v>
      </c>
      <c r="Z68" s="174"/>
      <c r="AA68" s="174"/>
      <c r="AB68" s="175"/>
      <c r="AC68">
        <v>2600000</v>
      </c>
      <c r="AD68" s="175">
        <f t="shared" si="6"/>
        <v>98460.940570226288</v>
      </c>
      <c r="AE68" s="173">
        <f t="shared" si="7"/>
        <v>111896.50152529828</v>
      </c>
    </row>
    <row r="69" spans="7:31">
      <c r="G69">
        <v>2650000</v>
      </c>
      <c r="H69" s="175">
        <f t="shared" si="0"/>
        <v>95824.884984681645</v>
      </c>
      <c r="I69" s="173">
        <f t="shared" si="1"/>
        <v>108086.71860770251</v>
      </c>
      <c r="Z69" s="174"/>
      <c r="AA69" s="174"/>
      <c r="AB69" s="175"/>
      <c r="AC69">
        <v>2650000</v>
      </c>
      <c r="AD69" s="175">
        <f t="shared" si="6"/>
        <v>98684.509997688598</v>
      </c>
      <c r="AE69" s="173">
        <f t="shared" si="7"/>
        <v>111896.50152529828</v>
      </c>
    </row>
    <row r="70" spans="7:31">
      <c r="G70">
        <v>2700000</v>
      </c>
      <c r="H70" s="175">
        <f t="shared" si="0"/>
        <v>96026.619852823656</v>
      </c>
      <c r="I70" s="173">
        <f t="shared" si="1"/>
        <v>108086.71860770251</v>
      </c>
      <c r="Z70" s="174"/>
      <c r="AA70" s="174"/>
      <c r="AB70" s="175"/>
      <c r="AC70">
        <v>2700000</v>
      </c>
      <c r="AD70" s="175">
        <f t="shared" si="6"/>
        <v>98900.760761737329</v>
      </c>
      <c r="AE70" s="173">
        <f t="shared" si="7"/>
        <v>111896.50152529828</v>
      </c>
    </row>
    <row r="71" spans="7:31">
      <c r="G71">
        <v>2750000</v>
      </c>
      <c r="H71" s="175">
        <f t="shared" si="0"/>
        <v>96221.824174428693</v>
      </c>
      <c r="I71" s="173">
        <f t="shared" si="1"/>
        <v>108086.71860770251</v>
      </c>
      <c r="Z71" s="174"/>
      <c r="AA71" s="174"/>
      <c r="AB71" s="175"/>
      <c r="AC71">
        <v>2750000</v>
      </c>
      <c r="AD71" s="175">
        <f t="shared" si="6"/>
        <v>99110.046445482047</v>
      </c>
      <c r="AE71" s="173">
        <f t="shared" si="7"/>
        <v>111896.50152529828</v>
      </c>
    </row>
    <row r="72" spans="7:31">
      <c r="G72">
        <v>2800000</v>
      </c>
      <c r="H72" s="175">
        <f t="shared" si="0"/>
        <v>96410.81000809664</v>
      </c>
      <c r="I72" s="173">
        <f t="shared" si="1"/>
        <v>108086.71860770251</v>
      </c>
      <c r="Z72" s="174"/>
      <c r="AA72" s="174"/>
      <c r="AB72" s="175"/>
      <c r="AC72">
        <v>2800000</v>
      </c>
      <c r="AD72" s="175">
        <f t="shared" si="6"/>
        <v>99312.698216361037</v>
      </c>
      <c r="AE72" s="173">
        <f t="shared" si="7"/>
        <v>111896.50152529828</v>
      </c>
    </row>
    <row r="73" spans="7:31">
      <c r="G73">
        <v>2850000</v>
      </c>
      <c r="H73" s="175">
        <f t="shared" si="0"/>
        <v>96593.869842080458</v>
      </c>
      <c r="I73" s="173">
        <f t="shared" si="1"/>
        <v>108086.71860770251</v>
      </c>
      <c r="Z73" s="174"/>
      <c r="AA73" s="174"/>
      <c r="AB73" s="175"/>
      <c r="AC73">
        <v>2850000</v>
      </c>
      <c r="AD73" s="175">
        <f t="shared" si="6"/>
        <v>99509.026574750998</v>
      </c>
      <c r="AE73" s="173">
        <f t="shared" si="7"/>
        <v>111896.50152529828</v>
      </c>
    </row>
    <row r="74" spans="7:31">
      <c r="G74">
        <v>2900000</v>
      </c>
      <c r="H74" s="175">
        <f t="shared" si="0"/>
        <v>96771.278104765166</v>
      </c>
      <c r="I74" s="173">
        <f t="shared" si="1"/>
        <v>108086.71860770251</v>
      </c>
      <c r="Z74" s="174"/>
      <c r="AA74" s="174"/>
      <c r="AB74" s="175"/>
      <c r="AC74">
        <v>2900000</v>
      </c>
      <c r="AD74" s="175">
        <f t="shared" si="6"/>
        <v>99699.322941403909</v>
      </c>
      <c r="AE74" s="173">
        <f t="shared" si="7"/>
        <v>111896.50152529828</v>
      </c>
    </row>
    <row r="75" spans="7:31">
      <c r="G75">
        <v>2950000</v>
      </c>
      <c r="H75" s="175">
        <f t="shared" si="0"/>
        <v>96943.292537375266</v>
      </c>
      <c r="I75" s="173">
        <f t="shared" si="1"/>
        <v>108086.71860770251</v>
      </c>
      <c r="Z75" s="174"/>
      <c r="AA75" s="174"/>
      <c r="AB75" s="175"/>
      <c r="AC75">
        <v>2950000</v>
      </c>
      <c r="AD75" s="175">
        <f t="shared" si="6"/>
        <v>99883.861100780152</v>
      </c>
      <c r="AE75" s="173">
        <f t="shared" si="7"/>
        <v>111896.50152529828</v>
      </c>
    </row>
    <row r="76" spans="7:31">
      <c r="G76">
        <v>3000000</v>
      </c>
      <c r="H76" s="175">
        <f t="shared" si="0"/>
        <v>97110.155443351803</v>
      </c>
      <c r="I76" s="173">
        <f t="shared" si="1"/>
        <v>108086.71860770251</v>
      </c>
      <c r="Z76" s="174"/>
      <c r="AA76" s="174"/>
      <c r="AB76" s="175"/>
      <c r="AC76">
        <v>3000000</v>
      </c>
      <c r="AD76" s="175">
        <f t="shared" si="6"/>
        <v>100062.89851531267</v>
      </c>
      <c r="AE76" s="173">
        <f t="shared" si="7"/>
        <v>111896.50152529828</v>
      </c>
    </row>
    <row r="77" spans="7:31">
      <c r="G77">
        <v>3050000</v>
      </c>
      <c r="H77" s="175">
        <f t="shared" si="0"/>
        <v>97272.094827135545</v>
      </c>
      <c r="I77" s="173">
        <f t="shared" si="1"/>
        <v>108086.71860770251</v>
      </c>
      <c r="Z77" s="174"/>
      <c r="AA77" s="174"/>
      <c r="AB77" s="175"/>
      <c r="AC77">
        <v>3050000</v>
      </c>
      <c r="AD77" s="175">
        <f t="shared" si="6"/>
        <v>100236.67752386934</v>
      </c>
      <c r="AE77" s="173">
        <f t="shared" si="7"/>
        <v>111896.50152529828</v>
      </c>
    </row>
    <row r="78" spans="7:31">
      <c r="G78">
        <v>3100000</v>
      </c>
      <c r="H78" s="175">
        <f t="shared" si="0"/>
        <v>97429.325433611564</v>
      </c>
      <c r="I78" s="173">
        <f t="shared" si="1"/>
        <v>108086.71860770251</v>
      </c>
      <c r="Z78" s="174"/>
      <c r="AA78" s="174"/>
      <c r="AB78" s="175"/>
      <c r="AC78">
        <v>3100000</v>
      </c>
      <c r="AD78" s="175">
        <f t="shared" si="6"/>
        <v>100405.42643614548</v>
      </c>
      <c r="AE78" s="173">
        <f t="shared" si="7"/>
        <v>111896.50152529828</v>
      </c>
    </row>
    <row r="79" spans="7:31">
      <c r="G79">
        <v>3150000</v>
      </c>
      <c r="H79" s="175">
        <f t="shared" si="0"/>
        <v>97582.049698180243</v>
      </c>
      <c r="I79" s="173">
        <f t="shared" si="1"/>
        <v>108086.71860770251</v>
      </c>
      <c r="Z79" s="174"/>
      <c r="AA79" s="174"/>
      <c r="AB79" s="175"/>
      <c r="AC79">
        <v>3150000</v>
      </c>
      <c r="AD79" s="175">
        <f t="shared" si="6"/>
        <v>100569.36053337976</v>
      </c>
      <c r="AE79" s="173">
        <f t="shared" si="7"/>
        <v>111896.50152529828</v>
      </c>
    </row>
    <row r="80" spans="7:31">
      <c r="G80">
        <v>3200000</v>
      </c>
      <c r="H80" s="175">
        <f t="shared" ref="H80:H100" si="8">$E$9*G80/($E$10+G80)</f>
        <v>97730.458616293079</v>
      </c>
      <c r="I80" s="173">
        <f t="shared" ref="I80:I100" si="9">$E$9</f>
        <v>108086.71860770251</v>
      </c>
      <c r="Z80" s="174"/>
      <c r="AA80" s="174"/>
      <c r="AB80" s="175"/>
      <c r="AC80">
        <v>3200000</v>
      </c>
      <c r="AD80" s="175">
        <f t="shared" si="6"/>
        <v>100728.68298461597</v>
      </c>
      <c r="AE80" s="173">
        <f t="shared" si="7"/>
        <v>111896.50152529828</v>
      </c>
    </row>
    <row r="81" spans="7:31">
      <c r="G81">
        <v>3250000</v>
      </c>
      <c r="H81" s="175">
        <f t="shared" si="8"/>
        <v>97874.732540307159</v>
      </c>
      <c r="I81" s="173">
        <f t="shared" si="9"/>
        <v>108086.71860770251</v>
      </c>
      <c r="Z81" s="174"/>
      <c r="AA81" s="174"/>
      <c r="AB81" s="175"/>
      <c r="AC81">
        <v>3250000</v>
      </c>
      <c r="AD81" s="175">
        <f t="shared" ref="AD81:AD100" si="10">$AA$9*AC81/($AA$10+AC81)</f>
        <v>100883.58568671119</v>
      </c>
      <c r="AE81" s="173">
        <f t="shared" ref="AE81:AE100" si="11">$AA$9</f>
        <v>111896.50152529828</v>
      </c>
    </row>
    <row r="82" spans="7:31">
      <c r="G82">
        <v>3300000</v>
      </c>
      <c r="H82" s="175">
        <f t="shared" si="8"/>
        <v>98015.041910648448</v>
      </c>
      <c r="I82" s="173">
        <f t="shared" si="9"/>
        <v>108086.71860770251</v>
      </c>
      <c r="Z82" s="174"/>
      <c r="AA82" s="174"/>
      <c r="AB82" s="175"/>
      <c r="AC82">
        <v>3300000</v>
      </c>
      <c r="AD82" s="175">
        <f t="shared" si="10"/>
        <v>101034.2500353926</v>
      </c>
      <c r="AE82" s="173">
        <f t="shared" si="11"/>
        <v>111896.50152529828</v>
      </c>
    </row>
    <row r="83" spans="7:31">
      <c r="G83">
        <v>3350000</v>
      </c>
      <c r="H83" s="175">
        <f t="shared" si="8"/>
        <v>98151.547927516294</v>
      </c>
      <c r="I83" s="173">
        <f t="shared" si="9"/>
        <v>108086.71860770251</v>
      </c>
      <c r="Z83" s="174"/>
      <c r="AA83" s="174"/>
      <c r="AB83" s="175"/>
      <c r="AC83">
        <v>3350000</v>
      </c>
      <c r="AD83" s="175">
        <f t="shared" si="10"/>
        <v>101180.8476338769</v>
      </c>
      <c r="AE83" s="173">
        <f t="shared" si="11"/>
        <v>111896.50152529828</v>
      </c>
    </row>
    <row r="84" spans="7:31">
      <c r="G84">
        <v>3400000</v>
      </c>
      <c r="H84" s="175">
        <f t="shared" si="8"/>
        <v>98284.403168695004</v>
      </c>
      <c r="I84" s="173">
        <f t="shared" si="9"/>
        <v>108086.71860770251</v>
      </c>
      <c r="Z84" s="174"/>
      <c r="AA84" s="174"/>
      <c r="AB84" s="175"/>
      <c r="AC84">
        <v>3400000</v>
      </c>
      <c r="AD84" s="175">
        <f t="shared" si="10"/>
        <v>101323.54094487232</v>
      </c>
      <c r="AE84" s="173">
        <f t="shared" si="11"/>
        <v>111896.50152529828</v>
      </c>
    </row>
    <row r="85" spans="7:31">
      <c r="G85">
        <v>3450000</v>
      </c>
      <c r="H85" s="175">
        <f t="shared" si="8"/>
        <v>98413.752158450341</v>
      </c>
      <c r="I85" s="173">
        <f t="shared" si="9"/>
        <v>108086.71860770251</v>
      </c>
      <c r="Z85" s="174"/>
      <c r="AA85" s="174"/>
      <c r="AB85" s="175"/>
      <c r="AC85">
        <v>3450000</v>
      </c>
      <c r="AD85" s="175">
        <f t="shared" si="10"/>
        <v>101462.48389117165</v>
      </c>
      <c r="AE85" s="173">
        <f t="shared" si="11"/>
        <v>111896.50152529828</v>
      </c>
    </row>
    <row r="86" spans="7:31">
      <c r="G86">
        <v>3500000</v>
      </c>
      <c r="H86" s="175">
        <f t="shared" si="8"/>
        <v>98539.731891970587</v>
      </c>
      <c r="I86" s="173">
        <f t="shared" si="9"/>
        <v>108086.71860770251</v>
      </c>
      <c r="Z86" s="174"/>
      <c r="AA86" s="174"/>
      <c r="AB86" s="175"/>
      <c r="AC86">
        <v>3500000</v>
      </c>
      <c r="AD86" s="175">
        <f t="shared" si="10"/>
        <v>101597.8224095039</v>
      </c>
      <c r="AE86" s="173">
        <f t="shared" si="11"/>
        <v>111896.50152529828</v>
      </c>
    </row>
    <row r="87" spans="7:31">
      <c r="G87">
        <v>3550000</v>
      </c>
      <c r="H87" s="175">
        <f t="shared" si="8"/>
        <v>98662.472319352848</v>
      </c>
      <c r="I87" s="173">
        <f t="shared" si="9"/>
        <v>108086.71860770251</v>
      </c>
      <c r="Z87" s="174"/>
      <c r="AA87" s="174"/>
      <c r="AB87" s="175"/>
      <c r="AC87">
        <v>3550000</v>
      </c>
      <c r="AD87" s="175">
        <f t="shared" si="10"/>
        <v>101729.69496183401</v>
      </c>
      <c r="AE87" s="173">
        <f t="shared" si="11"/>
        <v>111896.50152529828</v>
      </c>
    </row>
    <row r="88" spans="7:31">
      <c r="G88">
        <v>3600000</v>
      </c>
      <c r="H88" s="175">
        <f t="shared" si="8"/>
        <v>98782.096792729164</v>
      </c>
      <c r="I88" s="173">
        <f t="shared" si="9"/>
        <v>108086.71860770251</v>
      </c>
      <c r="Z88" s="174"/>
      <c r="AA88" s="174"/>
      <c r="AB88" s="175"/>
      <c r="AC88">
        <v>3600000</v>
      </c>
      <c r="AD88" s="175">
        <f t="shared" si="10"/>
        <v>101858.23300787696</v>
      </c>
      <c r="AE88" s="173">
        <f t="shared" si="11"/>
        <v>111896.50152529828</v>
      </c>
    </row>
    <row r="89" spans="7:31">
      <c r="G89">
        <v>3650000</v>
      </c>
      <c r="H89" s="175">
        <f t="shared" si="8"/>
        <v>98898.722479766497</v>
      </c>
      <c r="I89" s="173">
        <f t="shared" si="9"/>
        <v>108086.71860770251</v>
      </c>
      <c r="Z89" s="174"/>
      <c r="AA89" s="174"/>
      <c r="AB89" s="175"/>
      <c r="AC89">
        <v>3650000</v>
      </c>
      <c r="AD89" s="175">
        <f t="shared" si="10"/>
        <v>101983.56144221533</v>
      </c>
      <c r="AE89" s="173">
        <f t="shared" si="11"/>
        <v>111896.50152529828</v>
      </c>
    </row>
    <row r="90" spans="7:31">
      <c r="G90">
        <v>3700000</v>
      </c>
      <c r="H90" s="175">
        <f t="shared" si="8"/>
        <v>99012.460746454468</v>
      </c>
      <c r="I90" s="173">
        <f t="shared" si="9"/>
        <v>108086.71860770251</v>
      </c>
      <c r="Z90" s="174"/>
      <c r="AA90" s="174"/>
      <c r="AB90" s="175"/>
      <c r="AC90">
        <v>3700000</v>
      </c>
      <c r="AD90" s="175">
        <f t="shared" si="10"/>
        <v>102105.79899907633</v>
      </c>
      <c r="AE90" s="173">
        <f t="shared" si="11"/>
        <v>111896.50152529828</v>
      </c>
    </row>
    <row r="91" spans="7:31">
      <c r="G91">
        <v>3750000</v>
      </c>
      <c r="H91" s="175">
        <f t="shared" si="8"/>
        <v>99123.417511809384</v>
      </c>
      <c r="I91" s="173">
        <f t="shared" si="9"/>
        <v>108086.71860770251</v>
      </c>
      <c r="Z91" s="174"/>
      <c r="AA91" s="174"/>
      <c r="AB91" s="175"/>
      <c r="AC91">
        <v>3750000</v>
      </c>
      <c r="AD91" s="175">
        <f t="shared" si="10"/>
        <v>102225.05862752521</v>
      </c>
      <c r="AE91" s="173">
        <f t="shared" si="11"/>
        <v>111896.50152529828</v>
      </c>
    </row>
    <row r="92" spans="7:31">
      <c r="G92">
        <v>3800000</v>
      </c>
      <c r="H92" s="175">
        <f t="shared" si="8"/>
        <v>99231.693576869642</v>
      </c>
      <c r="I92" s="173">
        <f t="shared" si="9"/>
        <v>108086.71860770251</v>
      </c>
      <c r="Z92" s="174"/>
      <c r="AA92" s="174"/>
      <c r="AB92" s="175"/>
      <c r="AC92">
        <v>3800000</v>
      </c>
      <c r="AD92" s="175">
        <f t="shared" si="10"/>
        <v>102341.44783956769</v>
      </c>
      <c r="AE92" s="173">
        <f t="shared" si="11"/>
        <v>111896.50152529828</v>
      </c>
    </row>
    <row r="93" spans="7:31">
      <c r="G93">
        <v>3850000</v>
      </c>
      <c r="H93" s="175">
        <f t="shared" si="8"/>
        <v>99337.384930130196</v>
      </c>
      <c r="I93" s="173">
        <f t="shared" si="9"/>
        <v>108086.71860770251</v>
      </c>
      <c r="Z93" s="174"/>
      <c r="AA93" s="174"/>
      <c r="AB93" s="175"/>
      <c r="AC93">
        <v>3850000</v>
      </c>
      <c r="AD93" s="175">
        <f t="shared" si="10"/>
        <v>102455.06903341618</v>
      </c>
      <c r="AE93" s="173">
        <f t="shared" si="11"/>
        <v>111896.50152529828</v>
      </c>
    </row>
    <row r="94" spans="7:31">
      <c r="G94">
        <v>3900000</v>
      </c>
      <c r="H94" s="175">
        <f t="shared" si="8"/>
        <v>99440.583031361486</v>
      </c>
      <c r="I94" s="173">
        <f t="shared" si="9"/>
        <v>108086.71860770251</v>
      </c>
      <c r="Z94" s="174"/>
      <c r="AA94" s="174"/>
      <c r="AB94" s="175"/>
      <c r="AC94">
        <v>3900000</v>
      </c>
      <c r="AD94" s="175">
        <f t="shared" si="10"/>
        <v>102566.01979396283</v>
      </c>
      <c r="AE94" s="173">
        <f t="shared" si="11"/>
        <v>111896.50152529828</v>
      </c>
    </row>
    <row r="95" spans="7:31">
      <c r="G95">
        <v>3950000</v>
      </c>
      <c r="H95" s="175">
        <f t="shared" si="8"/>
        <v>99541.375075576827</v>
      </c>
      <c r="I95" s="173">
        <f t="shared" si="9"/>
        <v>108086.71860770251</v>
      </c>
      <c r="Z95" s="174"/>
      <c r="AA95" s="174"/>
      <c r="AB95" s="175"/>
      <c r="AC95">
        <v>3950000</v>
      </c>
      <c r="AD95" s="175">
        <f t="shared" si="10"/>
        <v>102674.39317231267</v>
      </c>
      <c r="AE95" s="173">
        <f t="shared" si="11"/>
        <v>111896.50152529828</v>
      </c>
    </row>
    <row r="96" spans="7:31">
      <c r="G96">
        <v>4000000</v>
      </c>
      <c r="H96" s="175">
        <f t="shared" si="8"/>
        <v>99639.844238749167</v>
      </c>
      <c r="I96" s="173">
        <f t="shared" si="9"/>
        <v>108086.71860770251</v>
      </c>
      <c r="Z96" s="174"/>
      <c r="AA96" s="174"/>
      <c r="AB96" s="175"/>
      <c r="AC96">
        <v>4000000</v>
      </c>
      <c r="AD96" s="175">
        <f t="shared" si="10"/>
        <v>102780.27794605984</v>
      </c>
      <c r="AE96" s="173">
        <f t="shared" si="11"/>
        <v>111896.50152529828</v>
      </c>
    </row>
    <row r="97" spans="7:31">
      <c r="G97">
        <v>4050000</v>
      </c>
      <c r="H97" s="175">
        <f t="shared" si="8"/>
        <v>99736.069906733072</v>
      </c>
      <c r="I97" s="173">
        <f t="shared" si="9"/>
        <v>108086.71860770251</v>
      </c>
      <c r="Z97" s="174"/>
      <c r="AA97" s="174"/>
      <c r="AB97" s="175"/>
      <c r="AC97">
        <v>4050000</v>
      </c>
      <c r="AD97" s="175">
        <f t="shared" si="10"/>
        <v>102883.75886183689</v>
      </c>
      <c r="AE97" s="173">
        <f t="shared" si="11"/>
        <v>111896.50152529828</v>
      </c>
    </row>
    <row r="98" spans="7:31">
      <c r="G98">
        <v>4100000</v>
      </c>
      <c r="H98" s="175">
        <f t="shared" si="8"/>
        <v>99830.127888715651</v>
      </c>
      <c r="I98" s="173">
        <f t="shared" si="9"/>
        <v>108086.71860770251</v>
      </c>
      <c r="Z98" s="174"/>
      <c r="AA98" s="174"/>
      <c r="AB98" s="175"/>
      <c r="AC98">
        <v>4100000</v>
      </c>
      <c r="AD98" s="175">
        <f t="shared" si="10"/>
        <v>102984.91686153006</v>
      </c>
      <c r="AE98" s="173">
        <f t="shared" si="11"/>
        <v>111896.50152529828</v>
      </c>
    </row>
    <row r="99" spans="7:31">
      <c r="G99">
        <v>4150000</v>
      </c>
      <c r="H99" s="175">
        <f t="shared" si="8"/>
        <v>99922.090616403017</v>
      </c>
      <c r="I99" s="173">
        <f t="shared" si="9"/>
        <v>108086.71860770251</v>
      </c>
      <c r="Z99" s="174"/>
      <c r="AA99" s="174"/>
      <c r="AB99" s="175"/>
      <c r="AC99">
        <v>4150000</v>
      </c>
      <c r="AD99" s="175">
        <f t="shared" si="10"/>
        <v>103083.82929342956</v>
      </c>
      <c r="AE99" s="173">
        <f t="shared" si="11"/>
        <v>111896.50152529828</v>
      </c>
    </row>
    <row r="100" spans="7:31">
      <c r="G100">
        <v>4200000</v>
      </c>
      <c r="H100" s="175">
        <f t="shared" si="8"/>
        <v>100012.02733004192</v>
      </c>
      <c r="I100" s="173">
        <f t="shared" si="9"/>
        <v>108086.71860770251</v>
      </c>
      <c r="Z100" s="174"/>
      <c r="AA100" s="174"/>
      <c r="AB100" s="175"/>
      <c r="AC100">
        <v>4200000</v>
      </c>
      <c r="AD100" s="175">
        <f t="shared" si="10"/>
        <v>103180.57010947249</v>
      </c>
      <c r="AE100" s="173">
        <f t="shared" si="11"/>
        <v>111896.50152529828</v>
      </c>
    </row>
    <row r="101" spans="7:31">
      <c r="H101" s="175"/>
      <c r="I101" s="173"/>
    </row>
    <row r="102" spans="7:31">
      <c r="H102" s="175"/>
      <c r="I102" s="173"/>
    </row>
    <row r="103" spans="7:31">
      <c r="H103" s="175"/>
      <c r="I103" s="173"/>
    </row>
    <row r="104" spans="7:31">
      <c r="H104" s="175"/>
      <c r="I104" s="173"/>
    </row>
    <row r="105" spans="7:31">
      <c r="H105" s="175"/>
      <c r="I105" s="173"/>
    </row>
    <row r="106" spans="7:31">
      <c r="H106" s="175"/>
      <c r="I106" s="173"/>
    </row>
    <row r="107" spans="7:31">
      <c r="H107" s="175"/>
      <c r="I107" s="173"/>
    </row>
    <row r="108" spans="7:31">
      <c r="H108" s="175"/>
      <c r="I108" s="173"/>
    </row>
    <row r="109" spans="7:31">
      <c r="H109" s="175"/>
      <c r="I109" s="173"/>
    </row>
    <row r="110" spans="7:31">
      <c r="H110" s="175"/>
      <c r="I110" s="173"/>
    </row>
    <row r="111" spans="7:31">
      <c r="H111" s="175"/>
      <c r="I111" s="173"/>
    </row>
    <row r="112" spans="7:31">
      <c r="H112" s="175"/>
      <c r="I112" s="173"/>
    </row>
    <row r="113" spans="8:9">
      <c r="H113" s="175"/>
      <c r="I113" s="173"/>
    </row>
    <row r="114" spans="8:9">
      <c r="H114" s="175"/>
      <c r="I114" s="173"/>
    </row>
    <row r="115" spans="8:9">
      <c r="H115" s="175"/>
      <c r="I115" s="173"/>
    </row>
    <row r="116" spans="8:9">
      <c r="H116" s="175"/>
      <c r="I116" s="173"/>
    </row>
    <row r="117" spans="8:9">
      <c r="H117" s="175"/>
      <c r="I117" s="173"/>
    </row>
    <row r="118" spans="8:9">
      <c r="H118" s="175"/>
      <c r="I118" s="173"/>
    </row>
    <row r="119" spans="8:9">
      <c r="H119" s="175"/>
      <c r="I119" s="173"/>
    </row>
    <row r="120" spans="8:9">
      <c r="H120" s="175"/>
      <c r="I120" s="173"/>
    </row>
    <row r="121" spans="8:9">
      <c r="H121" s="175"/>
      <c r="I121" s="173"/>
    </row>
    <row r="122" spans="8:9">
      <c r="H122" s="175"/>
      <c r="I122" s="173"/>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03858A-75FD-C948-8C94-6A8879C8E704}">
  <sheetPr codeName="Sheet7"/>
  <dimension ref="A1:H35"/>
  <sheetViews>
    <sheetView zoomScale="91" zoomScaleNormal="91" workbookViewId="0">
      <selection activeCell="I42" sqref="I42"/>
    </sheetView>
  </sheetViews>
  <sheetFormatPr baseColWidth="10" defaultColWidth="11" defaultRowHeight="16"/>
  <cols>
    <col min="1" max="1" width="15" customWidth="1"/>
    <col min="2" max="2" width="15.83203125" customWidth="1"/>
    <col min="3" max="3" width="15" customWidth="1"/>
    <col min="4" max="4" width="15.83203125" bestFit="1" customWidth="1"/>
    <col min="6" max="6" width="15.1640625" customWidth="1"/>
    <col min="7" max="7" width="14.33203125" customWidth="1"/>
  </cols>
  <sheetData>
    <row r="1" spans="1:8">
      <c r="A1" t="s">
        <v>216</v>
      </c>
      <c r="G1" s="176" t="s">
        <v>221</v>
      </c>
    </row>
    <row r="2" spans="1:8">
      <c r="A2" s="182" t="s">
        <v>158</v>
      </c>
      <c r="B2" s="182" t="s">
        <v>220</v>
      </c>
      <c r="C2" s="182" t="s">
        <v>17</v>
      </c>
      <c r="D2" s="182" t="s">
        <v>22</v>
      </c>
      <c r="G2" s="176" t="s">
        <v>222</v>
      </c>
    </row>
    <row r="3" spans="1:8">
      <c r="A3" t="str">
        <f>D22</f>
        <v>CC-Curr</v>
      </c>
      <c r="B3" t="s">
        <v>169</v>
      </c>
      <c r="C3" s="179">
        <f>G22</f>
        <v>99175</v>
      </c>
      <c r="D3">
        <f>H22</f>
        <v>27029</v>
      </c>
    </row>
    <row r="4" spans="1:8">
      <c r="A4" t="str">
        <f t="shared" ref="A4:A14" si="0">D23</f>
        <v>CC-PNV</v>
      </c>
      <c r="B4" t="s">
        <v>169</v>
      </c>
      <c r="C4" s="179">
        <f t="shared" ref="C4:C16" si="1">G23</f>
        <v>159671.75</v>
      </c>
      <c r="D4">
        <f t="shared" ref="D4:D16" si="2">H23</f>
        <v>43516.689999999995</v>
      </c>
    </row>
    <row r="5" spans="1:8">
      <c r="A5" t="str">
        <f t="shared" si="0"/>
        <v>CC-HiPr</v>
      </c>
      <c r="B5" t="s">
        <v>169</v>
      </c>
      <c r="C5" s="179">
        <f t="shared" si="1"/>
        <v>128927.5</v>
      </c>
      <c r="D5">
        <f t="shared" si="2"/>
        <v>35137.699999999997</v>
      </c>
    </row>
    <row r="6" spans="1:8">
      <c r="A6" t="str">
        <f t="shared" si="0"/>
        <v>CC-WidPNV</v>
      </c>
      <c r="B6" t="s">
        <v>169</v>
      </c>
      <c r="C6" s="179">
        <f t="shared" si="1"/>
        <v>165622.25</v>
      </c>
      <c r="D6">
        <f t="shared" si="2"/>
        <v>45138.43</v>
      </c>
    </row>
    <row r="7" spans="1:8">
      <c r="A7" t="str">
        <f t="shared" si="0"/>
        <v>CC-Clim</v>
      </c>
      <c r="B7" t="s">
        <v>169</v>
      </c>
      <c r="C7" s="179">
        <f t="shared" si="1"/>
        <v>63472</v>
      </c>
      <c r="D7">
        <f t="shared" si="2"/>
        <v>17298.559999999998</v>
      </c>
    </row>
    <row r="8" spans="1:8">
      <c r="A8" t="str">
        <f t="shared" si="0"/>
        <v>CC-ClimVeg</v>
      </c>
      <c r="B8" t="s">
        <v>169</v>
      </c>
      <c r="C8" s="179">
        <f t="shared" si="1"/>
        <v>119010</v>
      </c>
      <c r="D8">
        <f t="shared" si="2"/>
        <v>32434.799999999999</v>
      </c>
    </row>
    <row r="9" spans="1:8">
      <c r="A9" t="str">
        <f t="shared" si="0"/>
        <v>CC-ClimVegWid</v>
      </c>
      <c r="B9" t="s">
        <v>169</v>
      </c>
      <c r="C9" s="179">
        <f t="shared" si="1"/>
        <v>135869.75</v>
      </c>
      <c r="D9">
        <f t="shared" si="2"/>
        <v>37029.729999999996</v>
      </c>
    </row>
    <row r="10" spans="1:8">
      <c r="A10" t="str">
        <f t="shared" si="0"/>
        <v>UGR-Curr</v>
      </c>
      <c r="B10" t="s">
        <v>169</v>
      </c>
      <c r="C10" s="179">
        <f t="shared" si="1"/>
        <v>96154</v>
      </c>
      <c r="D10">
        <f t="shared" si="2"/>
        <v>55021.338991420991</v>
      </c>
    </row>
    <row r="11" spans="1:8">
      <c r="A11" t="str">
        <f t="shared" si="0"/>
        <v>UGR-PNV</v>
      </c>
      <c r="B11" t="s">
        <v>169</v>
      </c>
      <c r="C11" s="179">
        <f t="shared" si="1"/>
        <v>458654.58</v>
      </c>
      <c r="D11">
        <f t="shared" si="2"/>
        <v>262451.78698907816</v>
      </c>
    </row>
    <row r="12" spans="1:8">
      <c r="A12" t="str">
        <f t="shared" si="0"/>
        <v>UGR-HiPr</v>
      </c>
      <c r="B12" t="s">
        <v>169</v>
      </c>
      <c r="C12" s="179">
        <f t="shared" si="1"/>
        <v>192308</v>
      </c>
      <c r="D12">
        <f t="shared" si="2"/>
        <v>110042.67798284198</v>
      </c>
    </row>
    <row r="13" spans="1:8">
      <c r="A13" t="str">
        <f t="shared" si="0"/>
        <v>UGR-WidPNV</v>
      </c>
      <c r="B13" t="s">
        <v>169</v>
      </c>
      <c r="C13" s="179">
        <f t="shared" si="1"/>
        <v>663462.6</v>
      </c>
      <c r="D13">
        <f t="shared" si="2"/>
        <v>379647.23904080485</v>
      </c>
    </row>
    <row r="14" spans="1:8">
      <c r="A14" t="str">
        <f t="shared" si="0"/>
        <v>UGR-Clim</v>
      </c>
      <c r="B14" t="s">
        <v>169</v>
      </c>
      <c r="C14" s="179">
        <f t="shared" si="1"/>
        <v>45192.38</v>
      </c>
      <c r="D14">
        <f t="shared" si="2"/>
        <v>25860.029325967866</v>
      </c>
    </row>
    <row r="15" spans="1:8">
      <c r="A15" t="str">
        <f>D34</f>
        <v>UGR-ClimVeg</v>
      </c>
      <c r="B15" t="s">
        <v>169</v>
      </c>
      <c r="C15" s="179">
        <f t="shared" si="1"/>
        <v>156731.01999999999</v>
      </c>
      <c r="D15">
        <f t="shared" si="2"/>
        <v>89684.782556016216</v>
      </c>
    </row>
    <row r="16" spans="1:8" s="89" customFormat="1">
      <c r="A16" t="str">
        <f>D35</f>
        <v>UGR-ClimVegWid</v>
      </c>
      <c r="B16" t="s">
        <v>169</v>
      </c>
      <c r="C16" s="179">
        <f t="shared" si="1"/>
        <v>205769.56</v>
      </c>
      <c r="D16">
        <f t="shared" si="2"/>
        <v>117745.66544164093</v>
      </c>
      <c r="E16"/>
      <c r="F16"/>
      <c r="G16"/>
      <c r="H16"/>
    </row>
    <row r="20" spans="2:8">
      <c r="B20" t="s">
        <v>218</v>
      </c>
    </row>
    <row r="21" spans="2:8">
      <c r="B21" s="89" t="s">
        <v>43</v>
      </c>
      <c r="C21" s="89" t="s">
        <v>45</v>
      </c>
      <c r="D21" s="89" t="s">
        <v>158</v>
      </c>
      <c r="E21" s="89" t="s">
        <v>217</v>
      </c>
      <c r="F21" s="89" t="s">
        <v>219</v>
      </c>
      <c r="G21" s="89" t="s">
        <v>216</v>
      </c>
      <c r="H21" s="89"/>
    </row>
    <row r="22" spans="2:8">
      <c r="B22" t="s">
        <v>25</v>
      </c>
      <c r="C22" t="s">
        <v>46</v>
      </c>
      <c r="D22" t="str">
        <f>B22&amp;"-"&amp;C22</f>
        <v>CC-Curr</v>
      </c>
      <c r="E22" s="177">
        <v>0</v>
      </c>
      <c r="F22" s="178">
        <f>E22*older_Fry_Parr_p!$E$9</f>
        <v>0</v>
      </c>
      <c r="G22" s="178">
        <f>F22+older_Fry_Parr_p!$E$9</f>
        <v>99175</v>
      </c>
      <c r="H22" s="178">
        <f>G22*older_Fry_Parr_p!$G$9</f>
        <v>27029</v>
      </c>
    </row>
    <row r="23" spans="2:8">
      <c r="B23" t="s">
        <v>25</v>
      </c>
      <c r="C23" t="s">
        <v>47</v>
      </c>
      <c r="D23" t="str">
        <f t="shared" ref="D23:D35" si="3">B23&amp;"-"&amp;C23</f>
        <v>CC-PNV</v>
      </c>
      <c r="E23" s="177">
        <v>0.61</v>
      </c>
      <c r="F23" s="178">
        <f>E23*older_Fry_Parr_p!$E$9</f>
        <v>60496.75</v>
      </c>
      <c r="G23" s="178">
        <f>F23+older_Fry_Parr_p!$E$9</f>
        <v>159671.75</v>
      </c>
      <c r="H23" s="178">
        <f>G23*older_Fry_Parr_p!$G$9</f>
        <v>43516.689999999995</v>
      </c>
    </row>
    <row r="24" spans="2:8">
      <c r="B24" t="s">
        <v>25</v>
      </c>
      <c r="C24" t="s">
        <v>48</v>
      </c>
      <c r="D24" t="str">
        <f t="shared" si="3"/>
        <v>CC-HiPr</v>
      </c>
      <c r="E24" s="177">
        <v>0.3</v>
      </c>
      <c r="F24" s="178">
        <f>E24*older_Fry_Parr_p!$E$9</f>
        <v>29752.5</v>
      </c>
      <c r="G24" s="178">
        <f>F24+older_Fry_Parr_p!$E$9</f>
        <v>128927.5</v>
      </c>
      <c r="H24" s="178">
        <f>G24*older_Fry_Parr_p!$G$9</f>
        <v>35137.699999999997</v>
      </c>
    </row>
    <row r="25" spans="2:8">
      <c r="B25" t="s">
        <v>25</v>
      </c>
      <c r="C25" t="s">
        <v>193</v>
      </c>
      <c r="D25" t="str">
        <f t="shared" si="3"/>
        <v>CC-WidPNV</v>
      </c>
      <c r="E25" s="177">
        <v>0.67</v>
      </c>
      <c r="F25" s="178">
        <f>E25*older_Fry_Parr_p!$E$9</f>
        <v>66447.25</v>
      </c>
      <c r="G25" s="178">
        <f>F25+older_Fry_Parr_p!$E$9</f>
        <v>165622.25</v>
      </c>
      <c r="H25" s="178">
        <f>G25*older_Fry_Parr_p!$G$9</f>
        <v>45138.43</v>
      </c>
    </row>
    <row r="26" spans="2:8">
      <c r="B26" t="s">
        <v>25</v>
      </c>
      <c r="C26" t="s">
        <v>49</v>
      </c>
      <c r="D26" t="str">
        <f t="shared" si="3"/>
        <v>CC-Clim</v>
      </c>
      <c r="E26" s="177">
        <v>-0.36</v>
      </c>
      <c r="F26" s="178">
        <f>E26*older_Fry_Parr_p!$E$9</f>
        <v>-35703</v>
      </c>
      <c r="G26" s="178">
        <f>F26+older_Fry_Parr_p!$E$9</f>
        <v>63472</v>
      </c>
      <c r="H26" s="178">
        <f>G26*older_Fry_Parr_p!$G$9</f>
        <v>17298.559999999998</v>
      </c>
    </row>
    <row r="27" spans="2:8">
      <c r="B27" t="s">
        <v>25</v>
      </c>
      <c r="C27" t="s">
        <v>50</v>
      </c>
      <c r="D27" t="str">
        <f t="shared" si="3"/>
        <v>CC-ClimVeg</v>
      </c>
      <c r="E27" s="177">
        <v>0.2</v>
      </c>
      <c r="F27" s="178">
        <f>E27*older_Fry_Parr_p!$E$9</f>
        <v>19835</v>
      </c>
      <c r="G27" s="178">
        <f>F27+older_Fry_Parr_p!$E$9</f>
        <v>119010</v>
      </c>
      <c r="H27" s="178">
        <f>G27*older_Fry_Parr_p!$G$9</f>
        <v>32434.799999999999</v>
      </c>
    </row>
    <row r="28" spans="2:8">
      <c r="B28" t="s">
        <v>25</v>
      </c>
      <c r="C28" t="s">
        <v>51</v>
      </c>
      <c r="D28" t="str">
        <f t="shared" si="3"/>
        <v>CC-ClimVegWid</v>
      </c>
      <c r="E28" s="177">
        <v>0.37</v>
      </c>
      <c r="F28" s="178">
        <f>E28*older_Fry_Parr_p!$E$9</f>
        <v>36694.75</v>
      </c>
      <c r="G28" s="178">
        <f>F28+older_Fry_Parr_p!$E$9</f>
        <v>135869.75</v>
      </c>
      <c r="H28" s="178">
        <f>G28*older_Fry_Parr_p!$G$9</f>
        <v>37029.729999999996</v>
      </c>
    </row>
    <row r="29" spans="2:8">
      <c r="B29" t="s">
        <v>44</v>
      </c>
      <c r="C29" t="s">
        <v>46</v>
      </c>
      <c r="D29" t="str">
        <f t="shared" si="3"/>
        <v>UGR-Curr</v>
      </c>
      <c r="E29" s="177">
        <v>0</v>
      </c>
      <c r="F29" s="178">
        <f>older_Fry_Parr_p!$E$11*Fry_Parr_c!E29</f>
        <v>0</v>
      </c>
      <c r="G29" s="178">
        <f>older_Fry_Parr_p!$E$11+F29</f>
        <v>96154</v>
      </c>
      <c r="H29" s="178">
        <f>older_Fry_Parr_p!$G$10*G29</f>
        <v>55021.338991420991</v>
      </c>
    </row>
    <row r="30" spans="2:8">
      <c r="B30" t="s">
        <v>44</v>
      </c>
      <c r="C30" t="s">
        <v>47</v>
      </c>
      <c r="D30" t="str">
        <f t="shared" si="3"/>
        <v>UGR-PNV</v>
      </c>
      <c r="E30" s="177">
        <v>3.77</v>
      </c>
      <c r="F30" s="178">
        <f>older_Fry_Parr_p!$E$11*Fry_Parr_c!E30</f>
        <v>362500.58</v>
      </c>
      <c r="G30" s="178">
        <f>older_Fry_Parr_p!$E$11+F30</f>
        <v>458654.58</v>
      </c>
      <c r="H30" s="178">
        <f>older_Fry_Parr_p!$G$10*G30</f>
        <v>262451.78698907816</v>
      </c>
    </row>
    <row r="31" spans="2:8">
      <c r="B31" t="s">
        <v>44</v>
      </c>
      <c r="C31" t="s">
        <v>48</v>
      </c>
      <c r="D31" t="str">
        <f t="shared" si="3"/>
        <v>UGR-HiPr</v>
      </c>
      <c r="E31" s="177">
        <v>1</v>
      </c>
      <c r="F31" s="178">
        <f>older_Fry_Parr_p!$E$11*Fry_Parr_c!E31</f>
        <v>96154</v>
      </c>
      <c r="G31" s="178">
        <f>older_Fry_Parr_p!$E$11+F31</f>
        <v>192308</v>
      </c>
      <c r="H31" s="178">
        <f>older_Fry_Parr_p!$G$10*G31</f>
        <v>110042.67798284198</v>
      </c>
    </row>
    <row r="32" spans="2:8">
      <c r="B32" t="s">
        <v>44</v>
      </c>
      <c r="C32" t="s">
        <v>193</v>
      </c>
      <c r="D32" t="str">
        <f t="shared" si="3"/>
        <v>UGR-WidPNV</v>
      </c>
      <c r="E32" s="177">
        <v>5.9</v>
      </c>
      <c r="F32" s="178">
        <f>older_Fry_Parr_p!$E$11*Fry_Parr_c!E32</f>
        <v>567308.6</v>
      </c>
      <c r="G32" s="178">
        <f>older_Fry_Parr_p!$E$11+F32</f>
        <v>663462.6</v>
      </c>
      <c r="H32" s="178">
        <f>older_Fry_Parr_p!$G$10*G32</f>
        <v>379647.23904080485</v>
      </c>
    </row>
    <row r="33" spans="2:8">
      <c r="B33" t="s">
        <v>44</v>
      </c>
      <c r="C33" t="s">
        <v>49</v>
      </c>
      <c r="D33" t="str">
        <f t="shared" si="3"/>
        <v>UGR-Clim</v>
      </c>
      <c r="E33" s="177">
        <v>-0.53</v>
      </c>
      <c r="F33" s="178">
        <f>older_Fry_Parr_p!$E$11*Fry_Parr_c!E33</f>
        <v>-50961.62</v>
      </c>
      <c r="G33" s="178">
        <f>older_Fry_Parr_p!$E$11+F33</f>
        <v>45192.38</v>
      </c>
      <c r="H33" s="178">
        <f>older_Fry_Parr_p!$G$10*G33</f>
        <v>25860.029325967866</v>
      </c>
    </row>
    <row r="34" spans="2:8">
      <c r="B34" t="s">
        <v>44</v>
      </c>
      <c r="C34" t="s">
        <v>50</v>
      </c>
      <c r="D34" t="str">
        <f t="shared" si="3"/>
        <v>UGR-ClimVeg</v>
      </c>
      <c r="E34" s="177">
        <v>0.63</v>
      </c>
      <c r="F34" s="178">
        <f>older_Fry_Parr_p!$E$11*Fry_Parr_c!E34</f>
        <v>60577.02</v>
      </c>
      <c r="G34" s="178">
        <f>older_Fry_Parr_p!$E$11+F34</f>
        <v>156731.01999999999</v>
      </c>
      <c r="H34" s="178">
        <f>older_Fry_Parr_p!$G$10*G34</f>
        <v>89684.782556016216</v>
      </c>
    </row>
    <row r="35" spans="2:8">
      <c r="B35" t="s">
        <v>44</v>
      </c>
      <c r="C35" t="s">
        <v>51</v>
      </c>
      <c r="D35" t="str">
        <f t="shared" si="3"/>
        <v>UGR-ClimVegWid</v>
      </c>
      <c r="E35" s="177">
        <v>1.1399999999999999</v>
      </c>
      <c r="F35" s="178">
        <f>older_Fry_Parr_p!$E$11*Fry_Parr_c!E35</f>
        <v>109615.56</v>
      </c>
      <c r="G35" s="178">
        <f>older_Fry_Parr_p!$E$11+F35</f>
        <v>205769.56</v>
      </c>
      <c r="H35" s="178">
        <f>older_Fry_Parr_p!$G$10*G35</f>
        <v>117745.66544164093</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5EA6F-6E2F-B248-BA56-D5C0B31C7AA3}">
  <dimension ref="A1:G11"/>
  <sheetViews>
    <sheetView zoomScaleNormal="100" workbookViewId="0">
      <selection activeCell="J58" sqref="J57:J58"/>
    </sheetView>
  </sheetViews>
  <sheetFormatPr baseColWidth="10" defaultColWidth="11" defaultRowHeight="16"/>
  <cols>
    <col min="2" max="2" width="17.6640625" customWidth="1"/>
    <col min="3" max="3" width="11" bestFit="1" customWidth="1"/>
    <col min="4" max="4" width="14.1640625" bestFit="1" customWidth="1"/>
  </cols>
  <sheetData>
    <row r="1" spans="1:7" ht="30" customHeight="1">
      <c r="A1" s="226" t="s">
        <v>132</v>
      </c>
    </row>
    <row r="2" spans="1:7">
      <c r="A2" t="s">
        <v>43</v>
      </c>
      <c r="B2" t="s">
        <v>14</v>
      </c>
      <c r="C2" t="s">
        <v>15</v>
      </c>
      <c r="D2" t="s">
        <v>16</v>
      </c>
    </row>
    <row r="3" spans="1:7">
      <c r="A3" t="s">
        <v>25</v>
      </c>
      <c r="B3" t="s">
        <v>169</v>
      </c>
      <c r="C3">
        <f>C9</f>
        <v>0.42</v>
      </c>
      <c r="D3">
        <f>D9</f>
        <v>0.15</v>
      </c>
    </row>
    <row r="4" spans="1:7">
      <c r="A4" t="s">
        <v>44</v>
      </c>
      <c r="B4" t="s">
        <v>169</v>
      </c>
      <c r="C4">
        <f>C10</f>
        <v>0.63</v>
      </c>
      <c r="D4">
        <f>D10</f>
        <v>0.22</v>
      </c>
    </row>
    <row r="7" spans="1:7">
      <c r="B7" s="199"/>
      <c r="C7" s="271" t="s">
        <v>64</v>
      </c>
      <c r="D7" s="271"/>
      <c r="E7" s="271" t="s">
        <v>17</v>
      </c>
      <c r="F7" s="271"/>
    </row>
    <row r="8" spans="1:7">
      <c r="B8" s="198" t="s">
        <v>43</v>
      </c>
      <c r="C8" s="198" t="s">
        <v>195</v>
      </c>
      <c r="D8" s="198" t="s">
        <v>196</v>
      </c>
      <c r="E8" s="198" t="s">
        <v>195</v>
      </c>
      <c r="F8" s="198" t="s">
        <v>196</v>
      </c>
      <c r="G8" s="227" t="s">
        <v>185</v>
      </c>
    </row>
    <row r="9" spans="1:7">
      <c r="B9" s="199" t="s">
        <v>25</v>
      </c>
      <c r="C9" s="195">
        <v>0.42</v>
      </c>
      <c r="D9" s="195">
        <v>0.15</v>
      </c>
      <c r="E9" s="195">
        <v>99175</v>
      </c>
      <c r="F9" s="195">
        <v>27029</v>
      </c>
      <c r="G9" s="228">
        <f>F9/E9</f>
        <v>0.27253844214771866</v>
      </c>
    </row>
    <row r="10" spans="1:7">
      <c r="B10" s="199" t="s">
        <v>44</v>
      </c>
      <c r="C10" s="195">
        <v>0.63</v>
      </c>
      <c r="D10" s="195">
        <v>0.22</v>
      </c>
      <c r="E10" s="195">
        <v>87073</v>
      </c>
      <c r="F10" s="195">
        <v>49825</v>
      </c>
      <c r="G10" s="228">
        <f>F10/E10</f>
        <v>0.57222100995716241</v>
      </c>
    </row>
    <row r="11" spans="1:7">
      <c r="B11" s="199" t="s">
        <v>273</v>
      </c>
      <c r="C11" s="195">
        <v>0.61</v>
      </c>
      <c r="D11" s="195">
        <v>0.23</v>
      </c>
      <c r="E11" s="195">
        <v>96154</v>
      </c>
      <c r="F11" s="195">
        <v>71478</v>
      </c>
      <c r="G11" s="228">
        <f>F11/E11</f>
        <v>0.74337001060798302</v>
      </c>
    </row>
  </sheetData>
  <mergeCells count="2">
    <mergeCell ref="C7:D7"/>
    <mergeCell ref="E7:F7"/>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730877-6A2B-6A4F-9960-E78C41892CD9}">
  <sheetPr codeName="Sheet5"/>
  <dimension ref="A1:W42"/>
  <sheetViews>
    <sheetView zoomScale="90" zoomScaleNormal="90" workbookViewId="0">
      <selection activeCell="P59" sqref="P59"/>
    </sheetView>
  </sheetViews>
  <sheetFormatPr baseColWidth="10" defaultColWidth="11" defaultRowHeight="16"/>
  <cols>
    <col min="1" max="1" width="19.5" customWidth="1"/>
    <col min="2" max="2" width="17.33203125" customWidth="1"/>
    <col min="3" max="3" width="12" bestFit="1" customWidth="1"/>
    <col min="4" max="4" width="15.6640625" customWidth="1"/>
    <col min="5" max="5" width="13" customWidth="1"/>
    <col min="6" max="6" width="12.83203125" customWidth="1"/>
    <col min="12" max="12" width="14.6640625" customWidth="1"/>
    <col min="13" max="13" width="12.33203125" customWidth="1"/>
  </cols>
  <sheetData>
    <row r="1" spans="1:23" s="67" customFormat="1" ht="35" customHeight="1">
      <c r="A1" s="164" t="s">
        <v>132</v>
      </c>
      <c r="I1" s="87" t="s">
        <v>157</v>
      </c>
    </row>
    <row r="2" spans="1:23" s="67" customFormat="1" ht="23" customHeight="1">
      <c r="A2" s="167" t="s">
        <v>43</v>
      </c>
      <c r="B2" s="167" t="s">
        <v>14</v>
      </c>
      <c r="C2" s="167" t="s">
        <v>15</v>
      </c>
      <c r="D2" s="167" t="s">
        <v>16</v>
      </c>
      <c r="E2" s="92" t="s">
        <v>17</v>
      </c>
      <c r="F2" s="2" t="s">
        <v>22</v>
      </c>
      <c r="J2" s="87" t="s">
        <v>167</v>
      </c>
    </row>
    <row r="3" spans="1:23" s="67" customFormat="1" ht="23" customHeight="1">
      <c r="A3" s="168" t="s">
        <v>25</v>
      </c>
      <c r="B3" s="168" t="s">
        <v>169</v>
      </c>
      <c r="C3" s="169">
        <f>R20</f>
        <v>0.13691284598137657</v>
      </c>
      <c r="D3" s="169">
        <f>U20</f>
        <v>8.1796751545584162E-2</v>
      </c>
      <c r="E3" s="90"/>
      <c r="J3" s="87" t="s">
        <v>168</v>
      </c>
    </row>
    <row r="4" spans="1:23" s="67" customFormat="1" ht="23" customHeight="1">
      <c r="A4" s="168" t="s">
        <v>44</v>
      </c>
      <c r="B4" s="168" t="s">
        <v>169</v>
      </c>
      <c r="C4" s="169">
        <f>R21</f>
        <v>0.1964598096849503</v>
      </c>
      <c r="D4" s="169">
        <f>U21</f>
        <v>0.10166294218366853</v>
      </c>
      <c r="E4" s="90"/>
      <c r="I4" s="87"/>
    </row>
    <row r="5" spans="1:23" s="67" customFormat="1" ht="23" customHeight="1">
      <c r="A5" s="90"/>
      <c r="B5" s="90"/>
      <c r="C5" s="91"/>
      <c r="D5" s="91"/>
      <c r="E5" s="90"/>
      <c r="I5" s="87"/>
    </row>
    <row r="6" spans="1:23" s="165" customFormat="1" ht="23" customHeight="1" thickBot="1">
      <c r="A6" s="165" t="s">
        <v>15</v>
      </c>
    </row>
    <row r="7" spans="1:23" s="67" customFormat="1" ht="23" customHeight="1" thickTop="1">
      <c r="A7" s="166" t="s">
        <v>94</v>
      </c>
      <c r="B7" t="s">
        <v>133</v>
      </c>
      <c r="I7" s="87"/>
    </row>
    <row r="8" spans="1:23" s="67" customFormat="1" ht="23" customHeight="1">
      <c r="A8" s="166" t="s">
        <v>91</v>
      </c>
      <c r="I8" s="87"/>
    </row>
    <row r="9" spans="1:23" s="68" customFormat="1" ht="27" customHeight="1">
      <c r="O9" s="272" t="s">
        <v>134</v>
      </c>
      <c r="P9" s="272"/>
      <c r="Q9" s="272"/>
    </row>
    <row r="10" spans="1:23" s="69" customFormat="1" ht="37" thickBot="1">
      <c r="A10" s="170" t="s">
        <v>135</v>
      </c>
      <c r="B10" s="170" t="s">
        <v>43</v>
      </c>
      <c r="C10" s="170" t="s">
        <v>136</v>
      </c>
      <c r="D10" s="170" t="s">
        <v>137</v>
      </c>
      <c r="E10" s="170" t="s">
        <v>138</v>
      </c>
      <c r="F10" s="170" t="s">
        <v>139</v>
      </c>
      <c r="G10" s="170" t="s">
        <v>140</v>
      </c>
      <c r="H10" s="170" t="s">
        <v>141</v>
      </c>
      <c r="I10" s="170" t="s">
        <v>142</v>
      </c>
      <c r="J10" s="170" t="s">
        <v>143</v>
      </c>
      <c r="K10" s="170" t="s">
        <v>144</v>
      </c>
      <c r="L10" s="170" t="s">
        <v>145</v>
      </c>
      <c r="M10" s="171" t="s">
        <v>146</v>
      </c>
      <c r="O10" s="70" t="s">
        <v>147</v>
      </c>
      <c r="P10" s="70" t="s">
        <v>148</v>
      </c>
      <c r="Q10" s="70" t="s">
        <v>149</v>
      </c>
      <c r="S10"/>
      <c r="T10"/>
      <c r="U10"/>
      <c r="V10"/>
      <c r="W10"/>
    </row>
    <row r="11" spans="1:23" s="69" customFormat="1" ht="17" thickTop="1">
      <c r="A11" s="83">
        <v>1991</v>
      </c>
      <c r="B11" s="83" t="s">
        <v>25</v>
      </c>
      <c r="C11" s="83">
        <v>20</v>
      </c>
      <c r="D11" s="78">
        <f t="shared" ref="D11:F32" si="0">$C11*O$15</f>
        <v>4.6443619162207863</v>
      </c>
      <c r="E11" s="78">
        <f t="shared" si="0"/>
        <v>15.046566172939354</v>
      </c>
      <c r="F11" s="78">
        <f t="shared" si="0"/>
        <v>0.30907191083986235</v>
      </c>
      <c r="G11" s="78">
        <f t="shared" ref="G11:I32" si="1">D11*O$11</f>
        <v>15126.686761131101</v>
      </c>
      <c r="H11" s="78">
        <f t="shared" si="1"/>
        <v>61615.688478186654</v>
      </c>
      <c r="I11" s="78">
        <f t="shared" si="1"/>
        <v>1591.4112689144513</v>
      </c>
      <c r="J11" s="78">
        <f>SUM(G11:I11)</f>
        <v>78333.78650823221</v>
      </c>
      <c r="K11" s="83">
        <v>1993</v>
      </c>
      <c r="L11" s="79">
        <v>42333.831168831166</v>
      </c>
      <c r="M11" s="84">
        <f>L11/J11</f>
        <v>0.54042876076700619</v>
      </c>
      <c r="O11" s="70">
        <f>Spawner_Egg_p!C30</f>
        <v>3257</v>
      </c>
      <c r="P11" s="70">
        <f>Spawner_Egg_p!C31</f>
        <v>4095</v>
      </c>
      <c r="Q11" s="70">
        <f>Spawner_Egg_p!C32</f>
        <v>5149</v>
      </c>
      <c r="S11"/>
      <c r="T11"/>
      <c r="U11"/>
      <c r="V11"/>
      <c r="W11"/>
    </row>
    <row r="12" spans="1:23" s="69" customFormat="1">
      <c r="A12" s="83">
        <v>1992</v>
      </c>
      <c r="B12" s="83" t="s">
        <v>25</v>
      </c>
      <c r="C12" s="83">
        <v>49</v>
      </c>
      <c r="D12" s="78">
        <f t="shared" si="0"/>
        <v>11.378686694740926</v>
      </c>
      <c r="E12" s="78">
        <f t="shared" si="0"/>
        <v>36.864087123701417</v>
      </c>
      <c r="F12" s="78">
        <f t="shared" si="0"/>
        <v>0.75722618155766275</v>
      </c>
      <c r="G12" s="78">
        <f t="shared" si="1"/>
        <v>37060.3825647712</v>
      </c>
      <c r="H12" s="78">
        <f t="shared" si="1"/>
        <v>150958.43677155729</v>
      </c>
      <c r="I12" s="78">
        <f t="shared" si="1"/>
        <v>3898.9576088404056</v>
      </c>
      <c r="J12" s="78">
        <f t="shared" ref="J12:J31" si="2">SUM(G12:I12)</f>
        <v>191917.77694516888</v>
      </c>
      <c r="K12" s="83">
        <v>1994</v>
      </c>
      <c r="L12" s="79">
        <v>10436.758122743682</v>
      </c>
      <c r="M12" s="84">
        <f t="shared" ref="M12:M30" si="3">L12/J12</f>
        <v>5.4381403791090577E-2</v>
      </c>
      <c r="S12"/>
      <c r="T12"/>
      <c r="U12"/>
      <c r="V12"/>
      <c r="W12"/>
    </row>
    <row r="13" spans="1:23" s="69" customFormat="1" ht="19">
      <c r="A13" s="83">
        <v>1993</v>
      </c>
      <c r="B13" s="83" t="s">
        <v>25</v>
      </c>
      <c r="C13" s="83">
        <v>84</v>
      </c>
      <c r="D13" s="78">
        <f t="shared" si="0"/>
        <v>19.5063200481273</v>
      </c>
      <c r="E13" s="78">
        <f t="shared" si="0"/>
        <v>63.19557792634528</v>
      </c>
      <c r="F13" s="78">
        <f t="shared" si="0"/>
        <v>1.2981020255274218</v>
      </c>
      <c r="G13" s="78">
        <f t="shared" si="1"/>
        <v>63532.084396750615</v>
      </c>
      <c r="H13" s="78">
        <f t="shared" si="1"/>
        <v>258785.89160838391</v>
      </c>
      <c r="I13" s="78">
        <f t="shared" si="1"/>
        <v>6683.9273294406948</v>
      </c>
      <c r="J13" s="78">
        <f t="shared" si="2"/>
        <v>329001.90333457524</v>
      </c>
      <c r="K13" s="83">
        <v>1995</v>
      </c>
      <c r="L13" s="79">
        <v>9324.738636363636</v>
      </c>
      <c r="M13" s="84">
        <f t="shared" si="3"/>
        <v>2.8342506659850338E-2</v>
      </c>
      <c r="O13" s="273" t="s">
        <v>150</v>
      </c>
      <c r="P13" s="273"/>
      <c r="Q13" s="273"/>
      <c r="S13"/>
      <c r="T13"/>
      <c r="U13"/>
      <c r="V13"/>
      <c r="W13"/>
    </row>
    <row r="14" spans="1:23" s="69" customFormat="1">
      <c r="A14" s="83">
        <v>1994</v>
      </c>
      <c r="B14" s="83" t="s">
        <v>25</v>
      </c>
      <c r="C14" s="83">
        <v>15</v>
      </c>
      <c r="D14" s="78">
        <f t="shared" si="0"/>
        <v>3.4832714371655897</v>
      </c>
      <c r="E14" s="78">
        <f t="shared" si="0"/>
        <v>11.284924629704514</v>
      </c>
      <c r="F14" s="78">
        <f t="shared" si="0"/>
        <v>0.23180393312989678</v>
      </c>
      <c r="G14" s="78">
        <f t="shared" si="1"/>
        <v>11345.015070848325</v>
      </c>
      <c r="H14" s="78">
        <f t="shared" si="1"/>
        <v>46211.766358639987</v>
      </c>
      <c r="I14" s="78">
        <f t="shared" si="1"/>
        <v>1193.5584516858385</v>
      </c>
      <c r="J14" s="78">
        <f t="shared" si="2"/>
        <v>58750.33988117415</v>
      </c>
      <c r="K14" s="83">
        <v>1996</v>
      </c>
      <c r="L14" s="79">
        <v>14878.175355450237</v>
      </c>
      <c r="M14" s="84">
        <f>L14/J14</f>
        <v>0.25324407289459394</v>
      </c>
      <c r="O14" s="70" t="s">
        <v>147</v>
      </c>
      <c r="P14" s="70" t="s">
        <v>148</v>
      </c>
      <c r="Q14" s="70" t="s">
        <v>149</v>
      </c>
      <c r="S14"/>
      <c r="T14"/>
      <c r="U14"/>
      <c r="V14"/>
      <c r="W14"/>
    </row>
    <row r="15" spans="1:23" s="69" customFormat="1">
      <c r="A15" s="83">
        <v>1995</v>
      </c>
      <c r="B15" s="83" t="s">
        <v>25</v>
      </c>
      <c r="C15" s="83">
        <v>20</v>
      </c>
      <c r="D15" s="78">
        <f t="shared" si="0"/>
        <v>4.6443619162207863</v>
      </c>
      <c r="E15" s="78">
        <f t="shared" si="0"/>
        <v>15.046566172939354</v>
      </c>
      <c r="F15" s="78">
        <f t="shared" si="0"/>
        <v>0.30907191083986235</v>
      </c>
      <c r="G15" s="78">
        <f t="shared" si="1"/>
        <v>15126.686761131101</v>
      </c>
      <c r="H15" s="78">
        <f t="shared" si="1"/>
        <v>61615.688478186654</v>
      </c>
      <c r="I15" s="78">
        <f t="shared" si="1"/>
        <v>1591.4112689144513</v>
      </c>
      <c r="J15" s="78">
        <f t="shared" si="2"/>
        <v>78333.78650823221</v>
      </c>
      <c r="K15" s="83">
        <v>1997</v>
      </c>
      <c r="L15" s="79">
        <v>38203.859872611465</v>
      </c>
      <c r="M15" s="84">
        <f t="shared" si="3"/>
        <v>0.48770602795508383</v>
      </c>
      <c r="O15" s="73">
        <f>old_SAR!F31</f>
        <v>0.2322180958110393</v>
      </c>
      <c r="P15" s="73">
        <f>old_SAR!G31</f>
        <v>0.75232830864696765</v>
      </c>
      <c r="Q15" s="73">
        <f>old_SAR!H31</f>
        <v>1.5453595541993118E-2</v>
      </c>
    </row>
    <row r="16" spans="1:23" s="69" customFormat="1">
      <c r="A16" s="83">
        <v>1996</v>
      </c>
      <c r="B16" s="83" t="s">
        <v>25</v>
      </c>
      <c r="C16" s="83">
        <v>15</v>
      </c>
      <c r="D16" s="78">
        <f t="shared" si="0"/>
        <v>3.4832714371655897</v>
      </c>
      <c r="E16" s="78">
        <f t="shared" si="0"/>
        <v>11.284924629704514</v>
      </c>
      <c r="F16" s="78">
        <f t="shared" si="0"/>
        <v>0.23180393312989678</v>
      </c>
      <c r="G16" s="78">
        <f t="shared" si="1"/>
        <v>11345.015070848325</v>
      </c>
      <c r="H16" s="78">
        <f t="shared" si="1"/>
        <v>46211.766358639987</v>
      </c>
      <c r="I16" s="78">
        <f t="shared" si="1"/>
        <v>1193.5584516858385</v>
      </c>
      <c r="J16" s="78">
        <f t="shared" si="2"/>
        <v>58750.33988117415</v>
      </c>
      <c r="K16" s="83">
        <v>1998</v>
      </c>
      <c r="L16" s="79">
        <v>40393.192052980135</v>
      </c>
      <c r="M16" s="84">
        <f t="shared" si="3"/>
        <v>0.68753971695615079</v>
      </c>
    </row>
    <row r="17" spans="1:21" s="69" customFormat="1">
      <c r="A17" s="83">
        <v>1997</v>
      </c>
      <c r="B17" s="83" t="s">
        <v>25</v>
      </c>
      <c r="C17" s="83">
        <v>46</v>
      </c>
      <c r="D17" s="78">
        <f t="shared" si="0"/>
        <v>10.682032407307808</v>
      </c>
      <c r="E17" s="78">
        <f t="shared" si="0"/>
        <v>34.607102197760511</v>
      </c>
      <c r="F17" s="78">
        <f t="shared" si="0"/>
        <v>0.71086539493168344</v>
      </c>
      <c r="G17" s="78">
        <f t="shared" si="1"/>
        <v>34791.37955060153</v>
      </c>
      <c r="H17" s="78">
        <f t="shared" si="1"/>
        <v>141716.08349982928</v>
      </c>
      <c r="I17" s="78">
        <f t="shared" si="1"/>
        <v>3660.245918503238</v>
      </c>
      <c r="J17" s="78">
        <f t="shared" si="2"/>
        <v>180167.70896893405</v>
      </c>
      <c r="K17" s="83">
        <v>1999</v>
      </c>
      <c r="L17" s="79">
        <v>41091.034482758623</v>
      </c>
      <c r="M17" s="84">
        <f t="shared" si="3"/>
        <v>0.22807102736619617</v>
      </c>
    </row>
    <row r="18" spans="1:21" s="69" customFormat="1">
      <c r="A18" s="83">
        <v>1998</v>
      </c>
      <c r="B18" s="83" t="s">
        <v>25</v>
      </c>
      <c r="C18" s="83">
        <v>34</v>
      </c>
      <c r="D18" s="78">
        <f t="shared" si="0"/>
        <v>7.895415257575336</v>
      </c>
      <c r="E18" s="78">
        <f t="shared" si="0"/>
        <v>25.5791624939969</v>
      </c>
      <c r="F18" s="78">
        <f t="shared" si="0"/>
        <v>0.52542224842776597</v>
      </c>
      <c r="G18" s="78">
        <f t="shared" si="1"/>
        <v>25715.367493922869</v>
      </c>
      <c r="H18" s="78">
        <f t="shared" si="1"/>
        <v>104746.6704129173</v>
      </c>
      <c r="I18" s="78">
        <f t="shared" si="1"/>
        <v>2705.3991571545671</v>
      </c>
      <c r="J18" s="78">
        <f t="shared" si="2"/>
        <v>133167.43706399473</v>
      </c>
      <c r="K18" s="83">
        <v>2000</v>
      </c>
      <c r="L18" s="79">
        <v>40463.440366972471</v>
      </c>
      <c r="M18" s="84">
        <f t="shared" si="3"/>
        <v>0.3038538644212806</v>
      </c>
      <c r="O18" s="274" t="s">
        <v>151</v>
      </c>
      <c r="P18" s="274"/>
      <c r="Q18" s="274"/>
      <c r="R18" s="274"/>
      <c r="S18" s="274"/>
      <c r="T18" s="274"/>
    </row>
    <row r="19" spans="1:21" s="69" customFormat="1">
      <c r="A19" s="83">
        <v>1999</v>
      </c>
      <c r="B19" s="83" t="s">
        <v>25</v>
      </c>
      <c r="C19" s="83">
        <v>40</v>
      </c>
      <c r="D19" s="78">
        <f t="shared" si="0"/>
        <v>9.2887238324415726</v>
      </c>
      <c r="E19" s="78">
        <f t="shared" si="0"/>
        <v>30.093132345878708</v>
      </c>
      <c r="F19" s="78">
        <f t="shared" si="0"/>
        <v>0.6181438216797247</v>
      </c>
      <c r="G19" s="78">
        <f t="shared" si="1"/>
        <v>30253.373522262202</v>
      </c>
      <c r="H19" s="78">
        <f t="shared" si="1"/>
        <v>123231.37695637331</v>
      </c>
      <c r="I19" s="78">
        <f t="shared" si="1"/>
        <v>3182.8225378289026</v>
      </c>
      <c r="J19" s="78">
        <f t="shared" si="2"/>
        <v>156667.57301646442</v>
      </c>
      <c r="K19" s="83">
        <v>2001</v>
      </c>
      <c r="L19" s="79">
        <v>71272.800000000003</v>
      </c>
      <c r="M19" s="84">
        <f t="shared" si="3"/>
        <v>0.45493013409041477</v>
      </c>
      <c r="O19" s="74" t="s">
        <v>43</v>
      </c>
      <c r="P19" s="74" t="s">
        <v>152</v>
      </c>
      <c r="Q19" s="74" t="s">
        <v>153</v>
      </c>
      <c r="R19" s="74" t="s">
        <v>154</v>
      </c>
      <c r="S19" s="74" t="s">
        <v>155</v>
      </c>
      <c r="T19" s="74" t="s">
        <v>156</v>
      </c>
      <c r="U19" s="74" t="s">
        <v>166</v>
      </c>
    </row>
    <row r="20" spans="1:21" s="69" customFormat="1">
      <c r="A20" s="83">
        <v>2000</v>
      </c>
      <c r="B20" s="83" t="s">
        <v>25</v>
      </c>
      <c r="C20" s="83">
        <v>34</v>
      </c>
      <c r="D20" s="78">
        <f t="shared" si="0"/>
        <v>7.895415257575336</v>
      </c>
      <c r="E20" s="78">
        <f t="shared" si="0"/>
        <v>25.5791624939969</v>
      </c>
      <c r="F20" s="78">
        <f t="shared" si="0"/>
        <v>0.52542224842776597</v>
      </c>
      <c r="G20" s="78">
        <f t="shared" si="1"/>
        <v>25715.367493922869</v>
      </c>
      <c r="H20" s="78">
        <f t="shared" si="1"/>
        <v>104746.6704129173</v>
      </c>
      <c r="I20" s="78">
        <f t="shared" si="1"/>
        <v>2705.3991571545671</v>
      </c>
      <c r="J20" s="78">
        <f t="shared" si="2"/>
        <v>133167.43706399473</v>
      </c>
      <c r="K20" s="83">
        <v>2002</v>
      </c>
      <c r="L20" s="79">
        <v>153077.94444444447</v>
      </c>
      <c r="M20" s="84"/>
      <c r="O20" s="74" t="s">
        <v>25</v>
      </c>
      <c r="P20" s="75">
        <f>MIN($M$23:$M$31)</f>
        <v>4.0596606354313558E-2</v>
      </c>
      <c r="Q20" s="75">
        <f>PERCENTILE($M$22:$M$31, 0.25)</f>
        <v>9.6961350963696E-2</v>
      </c>
      <c r="R20" s="75">
        <f>PERCENTILE($M$22:$M$31, 0.5)</f>
        <v>0.13691284598137657</v>
      </c>
      <c r="S20" s="75">
        <f>PERCENTILE($M$22:$M$31, 0.75)</f>
        <v>0.21003360820897932</v>
      </c>
      <c r="T20" s="75">
        <f>MAX($M$22:$M$31)</f>
        <v>0.29420227435472124</v>
      </c>
      <c r="U20" s="75">
        <f>STDEV($M$22:$M$31)</f>
        <v>8.1796751545584162E-2</v>
      </c>
    </row>
    <row r="21" spans="1:21" s="69" customFormat="1">
      <c r="A21" s="83">
        <v>2001</v>
      </c>
      <c r="B21" s="83" t="s">
        <v>25</v>
      </c>
      <c r="C21" s="83">
        <v>133</v>
      </c>
      <c r="D21" s="78">
        <f t="shared" si="0"/>
        <v>30.885006742868228</v>
      </c>
      <c r="E21" s="78">
        <f t="shared" si="0"/>
        <v>100.0596650500467</v>
      </c>
      <c r="F21" s="78">
        <f t="shared" si="0"/>
        <v>2.0553282070850845</v>
      </c>
      <c r="G21" s="78">
        <f t="shared" si="1"/>
        <v>100592.46696152182</v>
      </c>
      <c r="H21" s="78">
        <f t="shared" si="1"/>
        <v>409744.32837994123</v>
      </c>
      <c r="I21" s="78">
        <f t="shared" si="1"/>
        <v>10582.8849382811</v>
      </c>
      <c r="J21" s="78">
        <f t="shared" si="2"/>
        <v>520919.68027974415</v>
      </c>
      <c r="K21" s="83">
        <v>2003</v>
      </c>
      <c r="L21" s="79">
        <v>151046.92982456138</v>
      </c>
      <c r="M21" s="84">
        <f t="shared" si="3"/>
        <v>0.28996203357770278</v>
      </c>
      <c r="O21" s="74" t="s">
        <v>44</v>
      </c>
      <c r="P21" s="75">
        <f>MIN($M$32:$M$41)</f>
        <v>5.1387053341668813E-2</v>
      </c>
      <c r="Q21" s="75">
        <f>PERCENTILE($M$32:$M$41, 0.25)</f>
        <v>0.13135543811310818</v>
      </c>
      <c r="R21" s="75">
        <f>PERCENTILE($M$32:$M$41, 0.5)</f>
        <v>0.1964598096849503</v>
      </c>
      <c r="S21" s="75">
        <f>PERCENTILE($M$32:$M$41, 0.75)</f>
        <v>0.27788642239695105</v>
      </c>
      <c r="T21" s="75">
        <f>MAX($M$32:$M$41)</f>
        <v>0.34473648025830989</v>
      </c>
      <c r="U21" s="75">
        <f>STDEV($M$32:$M$41)</f>
        <v>0.10166294218366853</v>
      </c>
    </row>
    <row r="22" spans="1:21" s="69" customFormat="1">
      <c r="A22" s="83">
        <v>2002</v>
      </c>
      <c r="B22" s="83" t="s">
        <v>25</v>
      </c>
      <c r="C22" s="83">
        <v>158</v>
      </c>
      <c r="D22" s="78">
        <f t="shared" si="0"/>
        <v>36.690459138144213</v>
      </c>
      <c r="E22" s="78">
        <f t="shared" si="0"/>
        <v>118.86787276622088</v>
      </c>
      <c r="F22" s="78">
        <f t="shared" si="0"/>
        <v>2.4416680956349124</v>
      </c>
      <c r="G22" s="78">
        <f t="shared" si="1"/>
        <v>119500.82541293571</v>
      </c>
      <c r="H22" s="78">
        <f t="shared" si="1"/>
        <v>486763.93897767452</v>
      </c>
      <c r="I22" s="78">
        <f t="shared" si="1"/>
        <v>12572.149024424163</v>
      </c>
      <c r="J22" s="78">
        <f t="shared" si="2"/>
        <v>618836.91341503442</v>
      </c>
      <c r="K22" s="83">
        <v>2004</v>
      </c>
      <c r="L22" s="79">
        <v>57927.491228070168</v>
      </c>
      <c r="M22" s="84">
        <f t="shared" si="3"/>
        <v>9.3607039225244187E-2</v>
      </c>
      <c r="R22" s="76"/>
    </row>
    <row r="23" spans="1:21" s="69" customFormat="1">
      <c r="A23" s="83">
        <v>2003</v>
      </c>
      <c r="B23" s="83" t="s">
        <v>25</v>
      </c>
      <c r="C23" s="83">
        <v>167</v>
      </c>
      <c r="D23" s="78">
        <f t="shared" si="0"/>
        <v>38.780422000443565</v>
      </c>
      <c r="E23" s="78">
        <f t="shared" si="0"/>
        <v>125.63882754404359</v>
      </c>
      <c r="F23" s="78">
        <f t="shared" si="0"/>
        <v>2.5807504555128506</v>
      </c>
      <c r="G23" s="78">
        <f t="shared" si="1"/>
        <v>126307.8344554447</v>
      </c>
      <c r="H23" s="78">
        <f t="shared" si="1"/>
        <v>514490.9987928585</v>
      </c>
      <c r="I23" s="78">
        <f t="shared" si="1"/>
        <v>13288.284095435669</v>
      </c>
      <c r="J23" s="78">
        <f t="shared" si="2"/>
        <v>654087.11734373879</v>
      </c>
      <c r="K23" s="83">
        <v>2005</v>
      </c>
      <c r="L23" s="79">
        <v>74225.190476190488</v>
      </c>
      <c r="M23" s="84">
        <f t="shared" si="3"/>
        <v>0.11347905884100043</v>
      </c>
      <c r="R23" s="76"/>
    </row>
    <row r="24" spans="1:21" s="69" customFormat="1">
      <c r="A24" s="83">
        <v>2004</v>
      </c>
      <c r="B24" s="83" t="s">
        <v>25</v>
      </c>
      <c r="C24" s="83">
        <v>96</v>
      </c>
      <c r="D24" s="78">
        <f t="shared" si="0"/>
        <v>22.292937197859771</v>
      </c>
      <c r="E24" s="78">
        <f t="shared" si="0"/>
        <v>72.223517630108887</v>
      </c>
      <c r="F24" s="78">
        <f t="shared" si="0"/>
        <v>1.4835451720313393</v>
      </c>
      <c r="G24" s="78">
        <f t="shared" si="1"/>
        <v>72608.096453429273</v>
      </c>
      <c r="H24" s="78">
        <f t="shared" si="1"/>
        <v>295755.30469529587</v>
      </c>
      <c r="I24" s="78">
        <f t="shared" si="1"/>
        <v>7638.7740907893658</v>
      </c>
      <c r="J24" s="78">
        <f t="shared" si="2"/>
        <v>376002.1752395145</v>
      </c>
      <c r="K24" s="83">
        <v>2006</v>
      </c>
      <c r="L24" s="79">
        <v>66042.824999999997</v>
      </c>
      <c r="M24" s="84">
        <f t="shared" si="3"/>
        <v>0.1756447950279291</v>
      </c>
    </row>
    <row r="25" spans="1:21" s="69" customFormat="1">
      <c r="A25" s="83">
        <v>2005</v>
      </c>
      <c r="B25" s="83" t="s">
        <v>25</v>
      </c>
      <c r="C25" s="83">
        <v>74</v>
      </c>
      <c r="D25" s="78">
        <f t="shared" si="0"/>
        <v>17.18413909001691</v>
      </c>
      <c r="E25" s="78">
        <f t="shared" si="0"/>
        <v>55.672294839875605</v>
      </c>
      <c r="F25" s="78">
        <f t="shared" si="0"/>
        <v>1.1435660701074908</v>
      </c>
      <c r="G25" s="78">
        <f t="shared" si="1"/>
        <v>55968.741016185071</v>
      </c>
      <c r="H25" s="78">
        <f t="shared" si="1"/>
        <v>227978.04736929061</v>
      </c>
      <c r="I25" s="78">
        <f t="shared" si="1"/>
        <v>5888.2216949834701</v>
      </c>
      <c r="J25" s="78">
        <f t="shared" si="2"/>
        <v>289835.01008045918</v>
      </c>
      <c r="K25" s="83">
        <v>2007</v>
      </c>
      <c r="L25" s="79">
        <v>46474.068027210888</v>
      </c>
      <c r="M25" s="84">
        <f t="shared" si="3"/>
        <v>0.16034663312175271</v>
      </c>
    </row>
    <row r="26" spans="1:21" s="69" customFormat="1">
      <c r="A26" s="83">
        <v>2006</v>
      </c>
      <c r="B26" s="83" t="s">
        <v>25</v>
      </c>
      <c r="C26" s="83">
        <v>117</v>
      </c>
      <c r="D26" s="78">
        <f t="shared" si="0"/>
        <v>27.169517209891598</v>
      </c>
      <c r="E26" s="78">
        <f t="shared" si="0"/>
        <v>88.022412111695218</v>
      </c>
      <c r="F26" s="78">
        <f t="shared" si="0"/>
        <v>1.8080706784131948</v>
      </c>
      <c r="G26" s="78">
        <f t="shared" si="1"/>
        <v>88491.117552616939</v>
      </c>
      <c r="H26" s="78">
        <f t="shared" si="1"/>
        <v>360451.77759739192</v>
      </c>
      <c r="I26" s="78">
        <f t="shared" si="1"/>
        <v>9309.7559231495397</v>
      </c>
      <c r="J26" s="78">
        <f t="shared" si="2"/>
        <v>458252.65107315837</v>
      </c>
      <c r="K26" s="83">
        <v>2008</v>
      </c>
      <c r="L26" s="79">
        <v>103336.14953271029</v>
      </c>
      <c r="M26" s="84">
        <f t="shared" si="3"/>
        <v>0.22550038562943969</v>
      </c>
    </row>
    <row r="27" spans="1:21" s="69" customFormat="1">
      <c r="A27" s="83">
        <v>2007</v>
      </c>
      <c r="B27" s="83" t="s">
        <v>25</v>
      </c>
      <c r="C27" s="83">
        <v>59</v>
      </c>
      <c r="D27" s="78">
        <f t="shared" si="0"/>
        <v>13.700867652851318</v>
      </c>
      <c r="E27" s="78">
        <f t="shared" si="0"/>
        <v>44.387370210171092</v>
      </c>
      <c r="F27" s="78">
        <f t="shared" si="0"/>
        <v>0.9117621369775939</v>
      </c>
      <c r="G27" s="78">
        <f t="shared" si="1"/>
        <v>44623.725945336744</v>
      </c>
      <c r="H27" s="78">
        <f t="shared" si="1"/>
        <v>181766.28101065062</v>
      </c>
      <c r="I27" s="78">
        <f t="shared" si="1"/>
        <v>4694.6632432976312</v>
      </c>
      <c r="J27" s="78">
        <f t="shared" si="2"/>
        <v>231084.670199285</v>
      </c>
      <c r="K27" s="83">
        <v>2009</v>
      </c>
      <c r="L27" s="79">
        <v>24731.671875</v>
      </c>
      <c r="M27" s="84">
        <f t="shared" si="3"/>
        <v>0.10702428617905145</v>
      </c>
    </row>
    <row r="28" spans="1:21" s="69" customFormat="1">
      <c r="A28" s="83">
        <v>2008</v>
      </c>
      <c r="B28" s="83" t="s">
        <v>25</v>
      </c>
      <c r="C28" s="83">
        <v>101</v>
      </c>
      <c r="D28" s="78">
        <f t="shared" si="0"/>
        <v>23.454027676914968</v>
      </c>
      <c r="E28" s="78">
        <f t="shared" si="0"/>
        <v>75.985159173343732</v>
      </c>
      <c r="F28" s="78">
        <f t="shared" si="0"/>
        <v>1.5608131497413049</v>
      </c>
      <c r="G28" s="78">
        <f t="shared" si="1"/>
        <v>76389.768143712048</v>
      </c>
      <c r="H28" s="78">
        <f t="shared" si="1"/>
        <v>311159.22681484261</v>
      </c>
      <c r="I28" s="78">
        <f t="shared" si="1"/>
        <v>8036.6269080179791</v>
      </c>
      <c r="J28" s="78">
        <f t="shared" si="2"/>
        <v>395585.62186657259</v>
      </c>
      <c r="K28" s="83">
        <v>2010</v>
      </c>
      <c r="L28" s="79">
        <v>116382.18965517241</v>
      </c>
      <c r="M28" s="84">
        <f t="shared" si="3"/>
        <v>0.29420227435472124</v>
      </c>
    </row>
    <row r="29" spans="1:21" s="69" customFormat="1">
      <c r="A29" s="83">
        <v>2009</v>
      </c>
      <c r="B29" s="83" t="s">
        <v>25</v>
      </c>
      <c r="C29" s="83">
        <v>89</v>
      </c>
      <c r="D29" s="78">
        <f t="shared" si="0"/>
        <v>20.667410527182497</v>
      </c>
      <c r="E29" s="78">
        <f t="shared" si="0"/>
        <v>66.957219469580124</v>
      </c>
      <c r="F29" s="78">
        <f t="shared" si="0"/>
        <v>1.3753700032373875</v>
      </c>
      <c r="G29" s="78">
        <f t="shared" si="1"/>
        <v>67313.756087033398</v>
      </c>
      <c r="H29" s="78">
        <f t="shared" si="1"/>
        <v>274189.8137279306</v>
      </c>
      <c r="I29" s="78">
        <f t="shared" si="1"/>
        <v>7081.7801466693081</v>
      </c>
      <c r="J29" s="78">
        <f t="shared" si="2"/>
        <v>348585.34996163327</v>
      </c>
      <c r="K29" s="83">
        <v>2012</v>
      </c>
      <c r="L29" s="79">
        <v>77210.450980392168</v>
      </c>
      <c r="M29" s="84">
        <f t="shared" si="3"/>
        <v>0.22149654593599608</v>
      </c>
    </row>
    <row r="30" spans="1:21" s="69" customFormat="1">
      <c r="A30" s="83">
        <v>2010</v>
      </c>
      <c r="B30" s="83" t="s">
        <v>25</v>
      </c>
      <c r="C30" s="83">
        <v>368</v>
      </c>
      <c r="D30" s="78">
        <f t="shared" si="0"/>
        <v>85.456259258462467</v>
      </c>
      <c r="E30" s="78">
        <f t="shared" si="0"/>
        <v>276.85681758208409</v>
      </c>
      <c r="F30" s="78">
        <f t="shared" si="0"/>
        <v>5.6869231594534675</v>
      </c>
      <c r="G30" s="78">
        <f t="shared" si="1"/>
        <v>278331.03640481224</v>
      </c>
      <c r="H30" s="78">
        <f t="shared" si="1"/>
        <v>1133728.6679986343</v>
      </c>
      <c r="I30" s="78">
        <f t="shared" si="1"/>
        <v>29281.967348025904</v>
      </c>
      <c r="J30" s="78">
        <f t="shared" si="2"/>
        <v>1441341.6717514724</v>
      </c>
      <c r="K30" s="78">
        <v>2013</v>
      </c>
      <c r="L30" s="79">
        <v>75419.434782608689</v>
      </c>
      <c r="M30" s="84">
        <f t="shared" si="3"/>
        <v>5.2325854626100829E-2</v>
      </c>
    </row>
    <row r="31" spans="1:21" s="69" customFormat="1">
      <c r="A31" s="83">
        <v>2012</v>
      </c>
      <c r="B31" s="83" t="s">
        <v>25</v>
      </c>
      <c r="C31" s="83">
        <v>237</v>
      </c>
      <c r="D31" s="78">
        <f t="shared" si="0"/>
        <v>55.035688707216316</v>
      </c>
      <c r="E31" s="78">
        <f t="shared" si="0"/>
        <v>178.30180914933132</v>
      </c>
      <c r="F31" s="78">
        <f t="shared" si="0"/>
        <v>3.662502143452369</v>
      </c>
      <c r="G31" s="78">
        <f t="shared" si="1"/>
        <v>179251.23811940354</v>
      </c>
      <c r="H31" s="78">
        <f t="shared" si="1"/>
        <v>730145.90846651176</v>
      </c>
      <c r="I31" s="78">
        <f t="shared" si="1"/>
        <v>18858.223536636247</v>
      </c>
      <c r="J31" s="78">
        <f t="shared" si="2"/>
        <v>928255.37012255145</v>
      </c>
      <c r="K31" s="78">
        <v>2014</v>
      </c>
      <c r="L31" s="79">
        <v>37684.017857142855</v>
      </c>
      <c r="M31" s="84">
        <f>L31/J31</f>
        <v>4.0596606354313558E-2</v>
      </c>
    </row>
    <row r="32" spans="1:21" s="69" customFormat="1">
      <c r="A32" s="72">
        <v>1992</v>
      </c>
      <c r="B32" s="72" t="s">
        <v>44</v>
      </c>
      <c r="C32" s="72">
        <v>121</v>
      </c>
      <c r="D32" s="71">
        <f t="shared" si="0"/>
        <v>28.098389593135757</v>
      </c>
      <c r="E32" s="71">
        <f t="shared" si="0"/>
        <v>91.031725346283082</v>
      </c>
      <c r="F32" s="71">
        <f t="shared" si="0"/>
        <v>1.8698850605811672</v>
      </c>
      <c r="G32" s="71">
        <f t="shared" si="1"/>
        <v>91516.454904843165</v>
      </c>
      <c r="H32" s="71">
        <f t="shared" si="1"/>
        <v>372774.91529302922</v>
      </c>
      <c r="I32" s="71">
        <f t="shared" si="1"/>
        <v>9628.0381769324304</v>
      </c>
      <c r="J32" s="71">
        <f t="shared" ref="J32:J41" si="4">SUM(G32:I32)</f>
        <v>473919.40837480483</v>
      </c>
      <c r="K32" s="71">
        <v>1994</v>
      </c>
      <c r="L32" s="77">
        <v>77466.791666666672</v>
      </c>
      <c r="M32" s="82">
        <f t="shared" ref="M32:M41" si="5">L32/J32</f>
        <v>0.1634598421118072</v>
      </c>
      <c r="N32" s="80"/>
    </row>
    <row r="33" spans="1:14" s="69" customFormat="1">
      <c r="A33" s="72">
        <v>1993</v>
      </c>
      <c r="B33" s="72" t="s">
        <v>44</v>
      </c>
      <c r="C33" s="72">
        <v>104</v>
      </c>
      <c r="D33" s="71">
        <f t="shared" ref="D33:F41" si="6">$C33*O$15</f>
        <v>24.150681964348088</v>
      </c>
      <c r="E33" s="71">
        <f t="shared" si="6"/>
        <v>78.24214409928463</v>
      </c>
      <c r="F33" s="71">
        <f t="shared" si="6"/>
        <v>1.6071739363672841</v>
      </c>
      <c r="G33" s="71">
        <f t="shared" ref="G33:I41" si="7">D33*O$11</f>
        <v>78658.771157881725</v>
      </c>
      <c r="H33" s="71">
        <f t="shared" si="7"/>
        <v>320401.58008657058</v>
      </c>
      <c r="I33" s="71">
        <f t="shared" si="7"/>
        <v>8275.3385983551452</v>
      </c>
      <c r="J33" s="71">
        <f t="shared" si="4"/>
        <v>407335.68984280742</v>
      </c>
      <c r="K33" s="71">
        <v>1995</v>
      </c>
      <c r="L33" s="77">
        <v>125619.91907514451</v>
      </c>
      <c r="M33" s="82">
        <f t="shared" si="5"/>
        <v>0.3083940892182116</v>
      </c>
      <c r="N33" s="80"/>
    </row>
    <row r="34" spans="1:14" s="69" customFormat="1">
      <c r="A34" s="72">
        <v>2006</v>
      </c>
      <c r="B34" s="72" t="s">
        <v>44</v>
      </c>
      <c r="C34" s="72">
        <v>18</v>
      </c>
      <c r="D34" s="71">
        <f t="shared" si="6"/>
        <v>4.1799257245987071</v>
      </c>
      <c r="E34" s="71">
        <f t="shared" si="6"/>
        <v>13.541909555645418</v>
      </c>
      <c r="F34" s="71">
        <f t="shared" si="6"/>
        <v>0.27816471975587609</v>
      </c>
      <c r="G34" s="71">
        <f t="shared" si="7"/>
        <v>13614.01808501799</v>
      </c>
      <c r="H34" s="71">
        <f t="shared" si="7"/>
        <v>55454.11963036799</v>
      </c>
      <c r="I34" s="71">
        <f t="shared" si="7"/>
        <v>1432.270142023006</v>
      </c>
      <c r="J34" s="71">
        <f t="shared" si="4"/>
        <v>70500.40785740898</v>
      </c>
      <c r="K34" s="71">
        <v>2008</v>
      </c>
      <c r="L34" s="77">
        <v>17113</v>
      </c>
      <c r="M34" s="82">
        <f t="shared" si="5"/>
        <v>0.24273618437232306</v>
      </c>
    </row>
    <row r="35" spans="1:14" s="69" customFormat="1">
      <c r="A35" s="72">
        <v>2008</v>
      </c>
      <c r="B35" s="72" t="s">
        <v>44</v>
      </c>
      <c r="C35" s="72">
        <v>32</v>
      </c>
      <c r="D35" s="71">
        <f t="shared" si="6"/>
        <v>7.4309790659532577</v>
      </c>
      <c r="E35" s="71">
        <f t="shared" si="6"/>
        <v>24.074505876702965</v>
      </c>
      <c r="F35" s="71">
        <f t="shared" si="6"/>
        <v>0.49451505734377976</v>
      </c>
      <c r="G35" s="71">
        <f t="shared" si="7"/>
        <v>24202.69881780976</v>
      </c>
      <c r="H35" s="71">
        <f t="shared" si="7"/>
        <v>98585.101565098637</v>
      </c>
      <c r="I35" s="71">
        <f t="shared" si="7"/>
        <v>2546.2580302631218</v>
      </c>
      <c r="J35" s="71">
        <f t="shared" si="4"/>
        <v>125334.05841317153</v>
      </c>
      <c r="K35" s="71">
        <v>2010</v>
      </c>
      <c r="L35" s="77">
        <v>36297.140425531921</v>
      </c>
      <c r="M35" s="82">
        <f t="shared" si="5"/>
        <v>0.28960316840516037</v>
      </c>
    </row>
    <row r="36" spans="1:14" s="69" customFormat="1">
      <c r="A36" s="72">
        <v>2009</v>
      </c>
      <c r="B36" s="72" t="s">
        <v>44</v>
      </c>
      <c r="C36" s="72">
        <v>52</v>
      </c>
      <c r="D36" s="71">
        <f t="shared" si="6"/>
        <v>12.075340982174044</v>
      </c>
      <c r="E36" s="71">
        <f t="shared" si="6"/>
        <v>39.121072049642315</v>
      </c>
      <c r="F36" s="71">
        <f t="shared" si="6"/>
        <v>0.80358696818364206</v>
      </c>
      <c r="G36" s="71">
        <f t="shared" si="7"/>
        <v>39329.385578940863</v>
      </c>
      <c r="H36" s="71">
        <f t="shared" si="7"/>
        <v>160200.79004328529</v>
      </c>
      <c r="I36" s="71">
        <f t="shared" si="7"/>
        <v>4137.6692991775726</v>
      </c>
      <c r="J36" s="71">
        <f t="shared" si="4"/>
        <v>203667.84492140371</v>
      </c>
      <c r="K36" s="71">
        <v>2011</v>
      </c>
      <c r="L36" s="77">
        <v>70211.736000000004</v>
      </c>
      <c r="M36" s="82">
        <f t="shared" si="5"/>
        <v>0.34473648025830989</v>
      </c>
    </row>
    <row r="37" spans="1:14" s="69" customFormat="1">
      <c r="A37" s="72">
        <v>2010</v>
      </c>
      <c r="B37" s="72" t="s">
        <v>44</v>
      </c>
      <c r="C37" s="72">
        <v>360</v>
      </c>
      <c r="D37" s="71">
        <f t="shared" si="6"/>
        <v>83.598514491974143</v>
      </c>
      <c r="E37" s="71">
        <f t="shared" si="6"/>
        <v>270.83819111290836</v>
      </c>
      <c r="F37" s="71">
        <f t="shared" si="6"/>
        <v>5.5632943951175227</v>
      </c>
      <c r="G37" s="71">
        <f t="shared" si="7"/>
        <v>272280.36170035979</v>
      </c>
      <c r="H37" s="71">
        <f t="shared" si="7"/>
        <v>1109082.3926073597</v>
      </c>
      <c r="I37" s="71">
        <f t="shared" si="7"/>
        <v>28645.402840460123</v>
      </c>
      <c r="J37" s="71">
        <f t="shared" si="4"/>
        <v>1410008.1571481796</v>
      </c>
      <c r="K37" s="71">
        <v>2012</v>
      </c>
      <c r="L37" s="77">
        <v>227463.30120481929</v>
      </c>
      <c r="M37" s="82">
        <f t="shared" si="5"/>
        <v>0.16132055694264674</v>
      </c>
    </row>
    <row r="38" spans="1:14" s="69" customFormat="1">
      <c r="A38" s="72">
        <v>2011</v>
      </c>
      <c r="B38" s="72" t="s">
        <v>44</v>
      </c>
      <c r="C38" s="72">
        <v>227</v>
      </c>
      <c r="D38" s="71">
        <f t="shared" si="6"/>
        <v>52.713507749105922</v>
      </c>
      <c r="E38" s="71">
        <f t="shared" si="6"/>
        <v>170.77852606286166</v>
      </c>
      <c r="F38" s="71">
        <f t="shared" si="6"/>
        <v>3.5079661880324378</v>
      </c>
      <c r="G38" s="71">
        <f t="shared" si="7"/>
        <v>171687.89473883799</v>
      </c>
      <c r="H38" s="71">
        <f t="shared" si="7"/>
        <v>699338.06422741851</v>
      </c>
      <c r="I38" s="71">
        <f t="shared" si="7"/>
        <v>18062.517902179021</v>
      </c>
      <c r="J38" s="71">
        <f t="shared" si="4"/>
        <v>889088.47686843551</v>
      </c>
      <c r="K38" s="71">
        <v>2013</v>
      </c>
      <c r="L38" s="77">
        <v>56714.081632653055</v>
      </c>
      <c r="M38" s="82">
        <f t="shared" si="5"/>
        <v>6.3789018875165818E-2</v>
      </c>
    </row>
    <row r="39" spans="1:14" s="69" customFormat="1">
      <c r="A39" s="72">
        <v>2012</v>
      </c>
      <c r="B39" s="72" t="s">
        <v>44</v>
      </c>
      <c r="C39" s="72">
        <v>97</v>
      </c>
      <c r="D39" s="71">
        <f t="shared" si="6"/>
        <v>22.525155293670814</v>
      </c>
      <c r="E39" s="71">
        <f t="shared" si="6"/>
        <v>72.975845938755867</v>
      </c>
      <c r="F39" s="71">
        <f t="shared" si="6"/>
        <v>1.4989987675733325</v>
      </c>
      <c r="G39" s="71">
        <f t="shared" si="7"/>
        <v>73364.430791485836</v>
      </c>
      <c r="H39" s="71">
        <f t="shared" si="7"/>
        <v>298836.08911920525</v>
      </c>
      <c r="I39" s="71">
        <f t="shared" si="7"/>
        <v>7718.3446542350894</v>
      </c>
      <c r="J39" s="71">
        <f t="shared" si="4"/>
        <v>379918.86456492619</v>
      </c>
      <c r="K39" s="71">
        <v>2014</v>
      </c>
      <c r="L39" s="77">
        <v>87176.098039215707</v>
      </c>
      <c r="M39" s="82">
        <f t="shared" si="5"/>
        <v>0.22945977725809338</v>
      </c>
    </row>
    <row r="40" spans="1:14" s="69" customFormat="1">
      <c r="A40" s="72">
        <v>2013</v>
      </c>
      <c r="B40" s="72" t="s">
        <v>44</v>
      </c>
      <c r="C40" s="72">
        <v>50</v>
      </c>
      <c r="D40" s="71">
        <f t="shared" si="6"/>
        <v>11.610904790551965</v>
      </c>
      <c r="E40" s="71">
        <f t="shared" si="6"/>
        <v>37.616415432348383</v>
      </c>
      <c r="F40" s="71">
        <f t="shared" si="6"/>
        <v>0.77267977709965585</v>
      </c>
      <c r="G40" s="71">
        <f t="shared" si="7"/>
        <v>37816.716902827749</v>
      </c>
      <c r="H40" s="71">
        <f t="shared" si="7"/>
        <v>154039.22119546664</v>
      </c>
      <c r="I40" s="71">
        <f t="shared" si="7"/>
        <v>3978.5281722861278</v>
      </c>
      <c r="J40" s="71">
        <f t="shared" si="4"/>
        <v>195834.46627058054</v>
      </c>
      <c r="K40" s="71">
        <v>2015</v>
      </c>
      <c r="L40" s="77">
        <v>23767.854430379746</v>
      </c>
      <c r="M40" s="82">
        <f t="shared" si="5"/>
        <v>0.12136706516992866</v>
      </c>
    </row>
    <row r="41" spans="1:14" s="69" customFormat="1">
      <c r="A41" s="72">
        <v>2014</v>
      </c>
      <c r="B41" s="72" t="s">
        <v>44</v>
      </c>
      <c r="C41" s="72">
        <v>292</v>
      </c>
      <c r="D41" s="71">
        <f t="shared" si="6"/>
        <v>67.807683976823483</v>
      </c>
      <c r="E41" s="71">
        <f t="shared" si="6"/>
        <v>219.67986612491455</v>
      </c>
      <c r="F41" s="71">
        <f>$C41*Q$15</f>
        <v>4.5124498982619903</v>
      </c>
      <c r="G41" s="71">
        <f t="shared" si="7"/>
        <v>220849.62671251409</v>
      </c>
      <c r="H41" s="71">
        <f t="shared" si="7"/>
        <v>899589.05178152514</v>
      </c>
      <c r="I41" s="71">
        <f t="shared" si="7"/>
        <v>23234.604526150986</v>
      </c>
      <c r="J41" s="71">
        <f t="shared" si="4"/>
        <v>1143673.2830201902</v>
      </c>
      <c r="K41" s="71">
        <v>2016</v>
      </c>
      <c r="L41" s="77">
        <v>58770.000000000007</v>
      </c>
      <c r="M41" s="82">
        <f t="shared" si="5"/>
        <v>5.1387053341668813E-2</v>
      </c>
    </row>
    <row r="42" spans="1:14" s="69" customFormat="1" ht="15">
      <c r="A42" s="85"/>
      <c r="B42" s="85"/>
      <c r="C42" s="85"/>
      <c r="D42" s="85"/>
      <c r="E42" s="85"/>
      <c r="F42" s="85"/>
      <c r="G42" s="85"/>
      <c r="H42" s="85"/>
      <c r="I42" s="85"/>
      <c r="J42" s="85"/>
      <c r="K42" s="85"/>
      <c r="L42" s="86"/>
      <c r="M42" s="85"/>
    </row>
  </sheetData>
  <mergeCells count="3">
    <mergeCell ref="O9:Q9"/>
    <mergeCell ref="O13:Q13"/>
    <mergeCell ref="O18:T18"/>
  </mergeCells>
  <pageMargins left="0.7" right="0.7" top="0.75" bottom="0.75" header="0.3" footer="0.3"/>
  <pageSetup orientation="portrait" horizontalDpi="0" verticalDpi="0"/>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224535-DD3F-B34D-886A-6D4E1091ED05}">
  <dimension ref="A1"/>
  <sheetViews>
    <sheetView workbookViewId="0">
      <selection activeCell="K50" sqref="K50"/>
    </sheetView>
  </sheetViews>
  <sheetFormatPr baseColWidth="10" defaultColWidth="11" defaultRowHeight="16"/>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63CA87-DF3A-5640-81D8-839CD46B64F7}">
  <sheetPr codeName="Sheet8"/>
  <dimension ref="A1:L36"/>
  <sheetViews>
    <sheetView zoomScale="88" zoomScaleNormal="88" workbookViewId="0">
      <selection activeCell="G6" sqref="G6"/>
    </sheetView>
  </sheetViews>
  <sheetFormatPr baseColWidth="10" defaultColWidth="11" defaultRowHeight="16"/>
  <cols>
    <col min="2" max="2" width="24.83203125" customWidth="1"/>
    <col min="3" max="3" width="17.5" bestFit="1" customWidth="1"/>
    <col min="4" max="4" width="22.5" customWidth="1"/>
    <col min="5" max="5" width="14.1640625" customWidth="1"/>
    <col min="6" max="6" width="16.5" customWidth="1"/>
    <col min="7" max="7" width="19.33203125" customWidth="1"/>
    <col min="8" max="13" width="14.5" customWidth="1"/>
  </cols>
  <sheetData>
    <row r="1" spans="1:12" ht="22" customHeight="1">
      <c r="A1" s="180" t="s">
        <v>226</v>
      </c>
      <c r="G1" s="181" t="s">
        <v>227</v>
      </c>
    </row>
    <row r="2" spans="1:12">
      <c r="A2" s="182" t="s">
        <v>43</v>
      </c>
      <c r="B2" s="182" t="s">
        <v>14</v>
      </c>
      <c r="C2" s="2" t="s">
        <v>18</v>
      </c>
      <c r="D2" s="2" t="s">
        <v>19</v>
      </c>
      <c r="G2" s="181" t="s">
        <v>230</v>
      </c>
    </row>
    <row r="3" spans="1:12">
      <c r="A3" t="s">
        <v>25</v>
      </c>
      <c r="B3" s="1" t="s">
        <v>228</v>
      </c>
      <c r="C3" s="194">
        <f>G35</f>
        <v>0.2336095264700811</v>
      </c>
      <c r="D3" s="194">
        <f>G36</f>
        <v>0.11134802491110798</v>
      </c>
    </row>
    <row r="4" spans="1:12">
      <c r="A4" t="s">
        <v>44</v>
      </c>
      <c r="B4" s="1" t="s">
        <v>228</v>
      </c>
      <c r="C4" s="194">
        <f>L35</f>
        <v>0.72413115963207075</v>
      </c>
      <c r="D4" s="194">
        <f>K36</f>
        <v>0.17293819905010713</v>
      </c>
    </row>
    <row r="5" spans="1:12">
      <c r="A5" t="s">
        <v>25</v>
      </c>
      <c r="B5" s="1" t="s">
        <v>229</v>
      </c>
      <c r="C5" s="194">
        <f>F35</f>
        <v>0.76639047352991896</v>
      </c>
      <c r="D5" s="194">
        <f>F36</f>
        <v>0.11134802491110794</v>
      </c>
    </row>
    <row r="6" spans="1:12">
      <c r="A6" t="s">
        <v>44</v>
      </c>
      <c r="B6" s="1" t="s">
        <v>229</v>
      </c>
      <c r="C6" s="194">
        <f>K35</f>
        <v>0.2758688403679293</v>
      </c>
      <c r="D6" s="194">
        <f>K36</f>
        <v>0.17293819905010713</v>
      </c>
    </row>
    <row r="11" spans="1:12">
      <c r="C11" s="275" t="s">
        <v>267</v>
      </c>
      <c r="D11" s="275"/>
      <c r="E11" s="275"/>
      <c r="F11" s="275"/>
      <c r="G11" s="275"/>
      <c r="H11" s="276" t="s">
        <v>272</v>
      </c>
      <c r="I11" s="276"/>
      <c r="J11" s="276"/>
      <c r="K11" s="276"/>
      <c r="L11" s="276"/>
    </row>
    <row r="12" spans="1:12" s="224" customFormat="1" ht="34">
      <c r="B12" s="224" t="s">
        <v>253</v>
      </c>
      <c r="C12" s="225" t="s">
        <v>270</v>
      </c>
      <c r="D12" s="225" t="s">
        <v>271</v>
      </c>
      <c r="E12" s="225" t="s">
        <v>266</v>
      </c>
      <c r="F12" s="225" t="s">
        <v>268</v>
      </c>
      <c r="G12" s="225" t="s">
        <v>269</v>
      </c>
      <c r="H12" s="211" t="s">
        <v>270</v>
      </c>
      <c r="I12" s="211" t="s">
        <v>271</v>
      </c>
      <c r="J12" s="211" t="s">
        <v>266</v>
      </c>
      <c r="K12" s="211" t="s">
        <v>268</v>
      </c>
      <c r="L12" s="211" t="s">
        <v>269</v>
      </c>
    </row>
    <row r="13" spans="1:12">
      <c r="B13" s="219">
        <v>1994</v>
      </c>
      <c r="C13" s="220"/>
      <c r="D13" s="220"/>
      <c r="E13" s="220"/>
      <c r="F13" s="220"/>
      <c r="G13" s="220"/>
      <c r="H13" s="196">
        <v>2616</v>
      </c>
      <c r="I13" s="196">
        <v>22175</v>
      </c>
      <c r="J13" s="196">
        <f>SUM(H13:I13)</f>
        <v>24791</v>
      </c>
      <c r="K13" s="197">
        <f>H13/J13</f>
        <v>0.10552216530192408</v>
      </c>
      <c r="L13" s="197">
        <f>1-K13</f>
        <v>0.89447783469807596</v>
      </c>
    </row>
    <row r="14" spans="1:12">
      <c r="B14" s="219">
        <v>1995</v>
      </c>
      <c r="C14" s="221">
        <v>8966</v>
      </c>
      <c r="D14" s="221">
        <v>8667</v>
      </c>
      <c r="E14" s="222">
        <f>SUM(C14:D14)</f>
        <v>17633</v>
      </c>
      <c r="F14" s="223">
        <f>C14/E14</f>
        <v>0.50847842114217656</v>
      </c>
      <c r="G14" s="223">
        <f>1-F14</f>
        <v>0.49152157885782344</v>
      </c>
      <c r="H14" s="197">
        <v>4859</v>
      </c>
      <c r="I14" s="196">
        <v>33866</v>
      </c>
      <c r="J14" s="196">
        <f t="shared" ref="J14:J34" si="0">SUM(H14:I14)</f>
        <v>38725</v>
      </c>
      <c r="K14" s="197">
        <f t="shared" ref="K14:K34" si="1">H14/J14</f>
        <v>0.12547449967721111</v>
      </c>
      <c r="L14" s="197">
        <f t="shared" ref="L14:L34" si="2">1-K14</f>
        <v>0.87452550032278886</v>
      </c>
    </row>
    <row r="15" spans="1:12">
      <c r="B15" s="219">
        <v>1996</v>
      </c>
      <c r="C15" s="221">
        <v>4985</v>
      </c>
      <c r="D15" s="221">
        <v>1872</v>
      </c>
      <c r="E15" s="222">
        <f t="shared" ref="E15:E34" si="3">SUM(C15:D15)</f>
        <v>6857</v>
      </c>
      <c r="F15" s="223">
        <f t="shared" ref="F15:F34" si="4">C15/E15</f>
        <v>0.72699431238150791</v>
      </c>
      <c r="G15" s="223">
        <f t="shared" ref="G15:G34" si="5">1-F15</f>
        <v>0.27300568761849209</v>
      </c>
      <c r="H15" s="196">
        <v>13</v>
      </c>
      <c r="I15" s="196">
        <v>1105</v>
      </c>
      <c r="J15" s="196">
        <f t="shared" si="0"/>
        <v>1118</v>
      </c>
      <c r="K15" s="197">
        <f t="shared" si="1"/>
        <v>1.1627906976744186E-2</v>
      </c>
      <c r="L15" s="197">
        <f t="shared" si="2"/>
        <v>0.98837209302325579</v>
      </c>
    </row>
    <row r="16" spans="1:12">
      <c r="B16" s="219">
        <v>1997</v>
      </c>
      <c r="C16" s="221">
        <v>4029</v>
      </c>
      <c r="D16" s="221">
        <v>413</v>
      </c>
      <c r="E16" s="222">
        <f t="shared" si="3"/>
        <v>4442</v>
      </c>
      <c r="F16" s="223">
        <f t="shared" si="4"/>
        <v>0.90702386312471861</v>
      </c>
      <c r="G16" s="223">
        <f t="shared" si="5"/>
        <v>9.297613687528139E-2</v>
      </c>
      <c r="H16" s="196">
        <v>68</v>
      </c>
      <c r="I16" s="196">
        <v>14</v>
      </c>
      <c r="J16" s="196">
        <f t="shared" si="0"/>
        <v>82</v>
      </c>
      <c r="K16" s="197">
        <f t="shared" si="1"/>
        <v>0.82926829268292679</v>
      </c>
      <c r="L16" s="197">
        <f t="shared" si="2"/>
        <v>0.17073170731707321</v>
      </c>
    </row>
    <row r="17" spans="2:12">
      <c r="B17" s="219">
        <v>1998</v>
      </c>
      <c r="C17" s="221">
        <v>7058</v>
      </c>
      <c r="D17" s="221">
        <v>2823</v>
      </c>
      <c r="E17" s="222">
        <f t="shared" si="3"/>
        <v>9881</v>
      </c>
      <c r="F17" s="223">
        <f t="shared" si="4"/>
        <v>0.71430017204736362</v>
      </c>
      <c r="G17" s="223">
        <f t="shared" si="5"/>
        <v>0.28569982795263638</v>
      </c>
      <c r="H17" s="196">
        <v>2408</v>
      </c>
      <c r="I17" s="196">
        <v>4514</v>
      </c>
      <c r="J17" s="196">
        <f t="shared" si="0"/>
        <v>6922</v>
      </c>
      <c r="K17" s="197">
        <f t="shared" si="1"/>
        <v>0.34787633631898296</v>
      </c>
      <c r="L17" s="197">
        <f t="shared" si="2"/>
        <v>0.65212366368101704</v>
      </c>
    </row>
    <row r="18" spans="2:12">
      <c r="B18" s="219">
        <v>1999</v>
      </c>
      <c r="C18" s="221">
        <v>12607</v>
      </c>
      <c r="D18" s="221">
        <v>7704</v>
      </c>
      <c r="E18" s="222">
        <f t="shared" si="3"/>
        <v>20311</v>
      </c>
      <c r="F18" s="223">
        <f t="shared" si="4"/>
        <v>0.62069814386293143</v>
      </c>
      <c r="G18" s="223">
        <f t="shared" si="5"/>
        <v>0.37930185613706857</v>
      </c>
      <c r="H18" s="196">
        <v>2440</v>
      </c>
      <c r="I18" s="196">
        <v>12418</v>
      </c>
      <c r="J18" s="196">
        <f t="shared" si="0"/>
        <v>14858</v>
      </c>
      <c r="K18" s="197">
        <f t="shared" si="1"/>
        <v>0.16422129492529278</v>
      </c>
      <c r="L18" s="197">
        <f t="shared" si="2"/>
        <v>0.8357787050747072</v>
      </c>
    </row>
    <row r="19" spans="2:12">
      <c r="B19" s="219">
        <v>2000</v>
      </c>
      <c r="C19" s="221">
        <v>19769</v>
      </c>
      <c r="D19" s="221">
        <v>4222</v>
      </c>
      <c r="E19" s="222">
        <f t="shared" si="3"/>
        <v>23991</v>
      </c>
      <c r="F19" s="223">
        <f t="shared" si="4"/>
        <v>0.82401733983577174</v>
      </c>
      <c r="G19" s="223">
        <f t="shared" si="5"/>
        <v>0.17598266016422826</v>
      </c>
      <c r="H19" s="196">
        <v>3839</v>
      </c>
      <c r="I19" s="196">
        <v>10941</v>
      </c>
      <c r="J19" s="196">
        <f t="shared" si="0"/>
        <v>14780</v>
      </c>
      <c r="K19" s="197">
        <f t="shared" si="1"/>
        <v>0.25974289580514209</v>
      </c>
      <c r="L19" s="197">
        <f t="shared" si="2"/>
        <v>0.74025710419485791</v>
      </c>
    </row>
    <row r="20" spans="2:12">
      <c r="B20" s="219">
        <v>2001</v>
      </c>
      <c r="C20" s="221">
        <v>18996</v>
      </c>
      <c r="D20" s="221">
        <v>2940</v>
      </c>
      <c r="E20" s="222">
        <f t="shared" si="3"/>
        <v>21936</v>
      </c>
      <c r="F20" s="223">
        <f t="shared" si="4"/>
        <v>0.86597374179431075</v>
      </c>
      <c r="G20" s="223">
        <f t="shared" si="5"/>
        <v>0.13402625820568925</v>
      </c>
      <c r="H20" s="196">
        <v>6</v>
      </c>
      <c r="I20" s="196">
        <v>45</v>
      </c>
      <c r="J20" s="196">
        <f t="shared" si="0"/>
        <v>51</v>
      </c>
      <c r="K20" s="197">
        <f t="shared" si="1"/>
        <v>0.11764705882352941</v>
      </c>
      <c r="L20" s="197">
        <f t="shared" si="2"/>
        <v>0.88235294117647056</v>
      </c>
    </row>
    <row r="21" spans="2:12">
      <c r="B21" s="219">
        <v>2002</v>
      </c>
      <c r="C21" s="221">
        <v>21183</v>
      </c>
      <c r="D21" s="221">
        <v>2179</v>
      </c>
      <c r="E21" s="222">
        <f t="shared" si="3"/>
        <v>23362</v>
      </c>
      <c r="F21" s="223">
        <f t="shared" si="4"/>
        <v>0.90672887595240137</v>
      </c>
      <c r="G21" s="223">
        <f t="shared" si="5"/>
        <v>9.327112404759863E-2</v>
      </c>
      <c r="H21" s="196">
        <v>1625</v>
      </c>
      <c r="I21" s="196">
        <v>7508</v>
      </c>
      <c r="J21" s="196">
        <f t="shared" si="0"/>
        <v>9133</v>
      </c>
      <c r="K21" s="197">
        <f t="shared" si="1"/>
        <v>0.17792620168619291</v>
      </c>
      <c r="L21" s="197">
        <f t="shared" si="2"/>
        <v>0.82207379831380711</v>
      </c>
    </row>
    <row r="22" spans="2:12">
      <c r="B22" s="219">
        <v>2003</v>
      </c>
      <c r="C22" s="221">
        <v>29763</v>
      </c>
      <c r="D22" s="221">
        <v>4860</v>
      </c>
      <c r="E22" s="222">
        <f t="shared" si="3"/>
        <v>34623</v>
      </c>
      <c r="F22" s="223">
        <f t="shared" si="4"/>
        <v>0.85963088120613462</v>
      </c>
      <c r="G22" s="223">
        <f t="shared" si="5"/>
        <v>0.14036911879386538</v>
      </c>
      <c r="H22" s="196">
        <v>1350</v>
      </c>
      <c r="I22" s="196">
        <v>3572</v>
      </c>
      <c r="J22" s="196">
        <f t="shared" si="0"/>
        <v>4922</v>
      </c>
      <c r="K22" s="197">
        <f t="shared" si="1"/>
        <v>0.27427874847622918</v>
      </c>
      <c r="L22" s="197">
        <f t="shared" si="2"/>
        <v>0.72572125152377076</v>
      </c>
    </row>
    <row r="23" spans="2:12">
      <c r="B23" s="219">
        <v>2004</v>
      </c>
      <c r="C23" s="221">
        <v>53712</v>
      </c>
      <c r="D23" s="221">
        <v>10300</v>
      </c>
      <c r="E23" s="222">
        <f t="shared" si="3"/>
        <v>64012</v>
      </c>
      <c r="F23" s="223">
        <f t="shared" si="4"/>
        <v>0.83909267012435174</v>
      </c>
      <c r="G23" s="223">
        <f t="shared" si="5"/>
        <v>0.16090732987564826</v>
      </c>
      <c r="H23" s="196">
        <v>467</v>
      </c>
      <c r="I23" s="196">
        <v>4387</v>
      </c>
      <c r="J23" s="196">
        <f t="shared" si="0"/>
        <v>4854</v>
      </c>
      <c r="K23" s="197">
        <f t="shared" si="1"/>
        <v>9.6209311907704986E-2</v>
      </c>
      <c r="L23" s="197">
        <f t="shared" si="2"/>
        <v>0.90379068809229501</v>
      </c>
    </row>
    <row r="24" spans="2:12">
      <c r="B24" s="219">
        <v>2005</v>
      </c>
      <c r="C24" s="221">
        <v>50630</v>
      </c>
      <c r="D24" s="221">
        <v>5467</v>
      </c>
      <c r="E24" s="222">
        <f t="shared" si="3"/>
        <v>56097</v>
      </c>
      <c r="F24" s="223">
        <f t="shared" si="4"/>
        <v>0.90254380804677614</v>
      </c>
      <c r="G24" s="223">
        <f t="shared" si="5"/>
        <v>9.7456191953223859E-2</v>
      </c>
      <c r="H24" s="196">
        <v>1094</v>
      </c>
      <c r="I24" s="196">
        <v>5163</v>
      </c>
      <c r="J24" s="196">
        <f t="shared" si="0"/>
        <v>6257</v>
      </c>
      <c r="K24" s="197">
        <f t="shared" si="1"/>
        <v>0.17484417452453252</v>
      </c>
      <c r="L24" s="197">
        <f t="shared" si="2"/>
        <v>0.82515582547546751</v>
      </c>
    </row>
    <row r="25" spans="2:12">
      <c r="B25" s="219">
        <v>2006</v>
      </c>
      <c r="C25" s="221">
        <v>22823</v>
      </c>
      <c r="D25" s="221">
        <v>4395</v>
      </c>
      <c r="E25" s="222">
        <f t="shared" si="3"/>
        <v>27218</v>
      </c>
      <c r="F25" s="223">
        <f t="shared" si="4"/>
        <v>0.83852597545741792</v>
      </c>
      <c r="G25" s="223">
        <f t="shared" si="5"/>
        <v>0.16147402454258208</v>
      </c>
      <c r="H25" s="196">
        <v>7846</v>
      </c>
      <c r="I25" s="196">
        <v>26826</v>
      </c>
      <c r="J25" s="196">
        <f t="shared" si="0"/>
        <v>34672</v>
      </c>
      <c r="K25" s="197">
        <f t="shared" si="1"/>
        <v>0.22629210890632209</v>
      </c>
      <c r="L25" s="197">
        <f t="shared" si="2"/>
        <v>0.77370789109367788</v>
      </c>
    </row>
    <row r="26" spans="2:12">
      <c r="B26" s="219">
        <v>2007</v>
      </c>
      <c r="C26" s="221">
        <v>10936</v>
      </c>
      <c r="D26" s="221">
        <v>2895</v>
      </c>
      <c r="E26" s="222">
        <f t="shared" si="3"/>
        <v>13831</v>
      </c>
      <c r="F26" s="223">
        <f t="shared" si="4"/>
        <v>0.79068758585785559</v>
      </c>
      <c r="G26" s="223">
        <f t="shared" si="5"/>
        <v>0.20931241414214441</v>
      </c>
      <c r="H26" s="196">
        <v>5356</v>
      </c>
      <c r="I26" s="196">
        <v>11753</v>
      </c>
      <c r="J26" s="196">
        <f t="shared" si="0"/>
        <v>17109</v>
      </c>
      <c r="K26" s="197">
        <f t="shared" si="1"/>
        <v>0.31305161026360395</v>
      </c>
      <c r="L26" s="197">
        <f t="shared" si="2"/>
        <v>0.68694838973639605</v>
      </c>
    </row>
    <row r="27" spans="2:12">
      <c r="B27" s="219">
        <v>2008</v>
      </c>
      <c r="C27" s="221">
        <v>20502</v>
      </c>
      <c r="D27" s="221">
        <v>5649</v>
      </c>
      <c r="E27" s="222">
        <f t="shared" si="3"/>
        <v>26151</v>
      </c>
      <c r="F27" s="223">
        <f t="shared" si="4"/>
        <v>0.78398531604909949</v>
      </c>
      <c r="G27" s="223">
        <f t="shared" si="5"/>
        <v>0.21601468395090051</v>
      </c>
      <c r="H27" s="196">
        <v>4576</v>
      </c>
      <c r="I27" s="196">
        <v>7108</v>
      </c>
      <c r="J27" s="196">
        <f t="shared" si="0"/>
        <v>11684</v>
      </c>
      <c r="K27" s="197">
        <f t="shared" si="1"/>
        <v>0.39164669633687094</v>
      </c>
      <c r="L27" s="197">
        <f t="shared" si="2"/>
        <v>0.60835330366312901</v>
      </c>
    </row>
    <row r="28" spans="2:12">
      <c r="B28" s="219">
        <v>2009</v>
      </c>
      <c r="C28" s="221">
        <v>16168</v>
      </c>
      <c r="D28" s="221">
        <v>5056</v>
      </c>
      <c r="E28" s="222">
        <f t="shared" si="3"/>
        <v>21224</v>
      </c>
      <c r="F28" s="223">
        <f t="shared" si="4"/>
        <v>0.7617791179796457</v>
      </c>
      <c r="G28" s="223">
        <f t="shared" si="5"/>
        <v>0.2382208820203543</v>
      </c>
      <c r="H28" s="196">
        <v>8</v>
      </c>
      <c r="I28" s="196">
        <v>26</v>
      </c>
      <c r="J28" s="196">
        <f t="shared" si="0"/>
        <v>34</v>
      </c>
      <c r="K28" s="197">
        <f t="shared" si="1"/>
        <v>0.23529411764705882</v>
      </c>
      <c r="L28" s="197">
        <f t="shared" si="2"/>
        <v>0.76470588235294112</v>
      </c>
    </row>
    <row r="29" spans="2:12">
      <c r="B29" s="219">
        <v>2010</v>
      </c>
      <c r="C29" s="221">
        <v>32358</v>
      </c>
      <c r="D29" s="221">
        <v>11277</v>
      </c>
      <c r="E29" s="222">
        <f t="shared" si="3"/>
        <v>43635</v>
      </c>
      <c r="F29" s="223">
        <f t="shared" si="4"/>
        <v>0.74156067377105539</v>
      </c>
      <c r="G29" s="223">
        <f t="shared" si="5"/>
        <v>0.25843932622894461</v>
      </c>
      <c r="H29" s="196">
        <v>4584</v>
      </c>
      <c r="I29" s="196">
        <v>16179</v>
      </c>
      <c r="J29" s="196">
        <f t="shared" si="0"/>
        <v>20763</v>
      </c>
      <c r="K29" s="197">
        <f t="shared" si="1"/>
        <v>0.22077734431440543</v>
      </c>
      <c r="L29" s="197">
        <f t="shared" si="2"/>
        <v>0.77922265568559457</v>
      </c>
    </row>
    <row r="30" spans="2:12">
      <c r="B30" s="219">
        <v>2011</v>
      </c>
      <c r="C30" s="221">
        <v>8079</v>
      </c>
      <c r="D30" s="221">
        <v>4515</v>
      </c>
      <c r="E30" s="222">
        <f t="shared" si="3"/>
        <v>12594</v>
      </c>
      <c r="F30" s="223">
        <f t="shared" si="4"/>
        <v>0.64149595045259644</v>
      </c>
      <c r="G30" s="223">
        <f t="shared" si="5"/>
        <v>0.35850404954740356</v>
      </c>
      <c r="H30" s="196">
        <v>11072</v>
      </c>
      <c r="I30" s="196">
        <v>14061</v>
      </c>
      <c r="J30" s="196">
        <f t="shared" si="0"/>
        <v>25133</v>
      </c>
      <c r="K30" s="197">
        <f t="shared" si="1"/>
        <v>0.44053634663589702</v>
      </c>
      <c r="L30" s="197">
        <f t="shared" si="2"/>
        <v>0.55946365336410298</v>
      </c>
    </row>
    <row r="31" spans="2:12">
      <c r="B31" s="219">
        <v>2012</v>
      </c>
      <c r="C31" s="221">
        <v>36404</v>
      </c>
      <c r="D31" s="221">
        <v>22041</v>
      </c>
      <c r="E31" s="222">
        <f t="shared" si="3"/>
        <v>58445</v>
      </c>
      <c r="F31" s="223">
        <f t="shared" si="4"/>
        <v>0.62287620840106084</v>
      </c>
      <c r="G31" s="223">
        <f t="shared" si="5"/>
        <v>0.37712379159893916</v>
      </c>
      <c r="H31" s="196">
        <v>17824</v>
      </c>
      <c r="I31" s="196">
        <v>37990</v>
      </c>
      <c r="J31" s="196">
        <f t="shared" si="0"/>
        <v>55814</v>
      </c>
      <c r="K31" s="197">
        <f t="shared" si="1"/>
        <v>0.31934640054466623</v>
      </c>
      <c r="L31" s="197">
        <f t="shared" si="2"/>
        <v>0.68065359945533377</v>
      </c>
    </row>
    <row r="32" spans="2:12">
      <c r="B32" s="219">
        <v>2013</v>
      </c>
      <c r="C32" s="221">
        <v>26393</v>
      </c>
      <c r="D32" s="221">
        <v>5782</v>
      </c>
      <c r="E32" s="222">
        <f t="shared" si="3"/>
        <v>32175</v>
      </c>
      <c r="F32" s="223">
        <f t="shared" si="4"/>
        <v>0.82029526029526034</v>
      </c>
      <c r="G32" s="223">
        <f t="shared" si="5"/>
        <v>0.17970473970473966</v>
      </c>
      <c r="H32" s="196">
        <v>8958</v>
      </c>
      <c r="I32" s="196">
        <v>12651</v>
      </c>
      <c r="J32" s="196">
        <f t="shared" si="0"/>
        <v>21609</v>
      </c>
      <c r="K32" s="197">
        <f t="shared" si="1"/>
        <v>0.41454949326669444</v>
      </c>
      <c r="L32" s="197">
        <f t="shared" si="2"/>
        <v>0.58545050673330556</v>
      </c>
    </row>
    <row r="33" spans="2:12">
      <c r="B33" s="219">
        <v>2014</v>
      </c>
      <c r="C33" s="221">
        <v>18012</v>
      </c>
      <c r="D33" s="221">
        <v>12779</v>
      </c>
      <c r="E33" s="222">
        <f t="shared" si="3"/>
        <v>30791</v>
      </c>
      <c r="F33" s="223">
        <f t="shared" si="4"/>
        <v>0.58497612938845767</v>
      </c>
      <c r="G33" s="223">
        <f t="shared" si="5"/>
        <v>0.41502387061154233</v>
      </c>
      <c r="H33" s="196">
        <v>16362</v>
      </c>
      <c r="I33" s="196">
        <v>16480</v>
      </c>
      <c r="J33" s="196">
        <f t="shared" si="0"/>
        <v>32842</v>
      </c>
      <c r="K33" s="197">
        <f t="shared" si="1"/>
        <v>0.49820351988307654</v>
      </c>
      <c r="L33" s="197">
        <f t="shared" si="2"/>
        <v>0.50179648011692346</v>
      </c>
    </row>
    <row r="34" spans="2:12">
      <c r="B34" s="219">
        <v>2015</v>
      </c>
      <c r="C34" s="221">
        <v>10261</v>
      </c>
      <c r="D34" s="221">
        <v>2064</v>
      </c>
      <c r="E34" s="222">
        <f t="shared" si="3"/>
        <v>12325</v>
      </c>
      <c r="F34" s="223">
        <f t="shared" si="4"/>
        <v>0.8325354969574037</v>
      </c>
      <c r="G34" s="223">
        <f t="shared" si="5"/>
        <v>0.1674645030425963</v>
      </c>
      <c r="H34" s="196">
        <v>2152</v>
      </c>
      <c r="I34" s="196">
        <v>11783</v>
      </c>
      <c r="J34" s="196">
        <f t="shared" si="0"/>
        <v>13935</v>
      </c>
      <c r="K34" s="197">
        <f t="shared" si="1"/>
        <v>0.15443128812343021</v>
      </c>
      <c r="L34" s="197">
        <f t="shared" si="2"/>
        <v>0.84556871187656979</v>
      </c>
    </row>
    <row r="35" spans="2:12">
      <c r="E35" s="205" t="s">
        <v>195</v>
      </c>
      <c r="F35" s="194">
        <f>AVERAGE(F14:F34)</f>
        <v>0.76639047352991896</v>
      </c>
      <c r="G35" s="194">
        <f>AVERAGE(G14:G34)</f>
        <v>0.2336095264700811</v>
      </c>
      <c r="H35" s="194"/>
      <c r="J35" s="205" t="s">
        <v>195</v>
      </c>
      <c r="K35" s="194">
        <f>AVERAGE(K14:K34)</f>
        <v>0.2758688403679293</v>
      </c>
      <c r="L35" s="194">
        <f>AVERAGE(L14:L34)</f>
        <v>0.72413115963207075</v>
      </c>
    </row>
    <row r="36" spans="2:12">
      <c r="E36" s="205" t="s">
        <v>166</v>
      </c>
      <c r="F36" s="194">
        <f>STDEV(F14:F35)</f>
        <v>0.11134802491110794</v>
      </c>
      <c r="G36" s="194">
        <f>STDEV(G14:G35)</f>
        <v>0.11134802491110798</v>
      </c>
      <c r="J36" s="205" t="s">
        <v>166</v>
      </c>
      <c r="K36" s="194">
        <f>STDEV(K14:K35)</f>
        <v>0.17293819905010713</v>
      </c>
      <c r="L36" s="194">
        <f>STDEV(L14:L35)</f>
        <v>0.1729381990501071</v>
      </c>
    </row>
  </sheetData>
  <mergeCells count="2">
    <mergeCell ref="C11:G11"/>
    <mergeCell ref="H11:L1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E6EEE4-F934-2943-A090-57DEA78E2F02}">
  <dimension ref="A1:M43"/>
  <sheetViews>
    <sheetView zoomScale="74" zoomScaleNormal="74" workbookViewId="0">
      <selection activeCell="G5" sqref="G5"/>
    </sheetView>
  </sheetViews>
  <sheetFormatPr baseColWidth="10" defaultColWidth="10.83203125" defaultRowHeight="16"/>
  <cols>
    <col min="1" max="1" width="18.5" style="104" customWidth="1"/>
    <col min="2" max="2" width="27.33203125" style="104" customWidth="1"/>
    <col min="3" max="3" width="11.5" style="104" customWidth="1"/>
    <col min="4" max="4" width="15.1640625" style="104" customWidth="1"/>
    <col min="5" max="5" width="13.6640625" style="104" customWidth="1"/>
    <col min="6" max="6" width="14" style="104" bestFit="1" customWidth="1"/>
    <col min="7" max="7" width="13.5" style="104" customWidth="1"/>
    <col min="8" max="8" width="14.83203125" style="104" customWidth="1"/>
    <col min="9" max="9" width="15.6640625" style="104" bestFit="1" customWidth="1"/>
    <col min="10" max="10" width="20.1640625" style="104" customWidth="1"/>
    <col min="11" max="11" width="22.33203125" style="104" customWidth="1"/>
    <col min="12" max="16384" width="10.83203125" style="104"/>
  </cols>
  <sheetData>
    <row r="1" spans="1:11">
      <c r="A1" s="201" t="s">
        <v>223</v>
      </c>
      <c r="G1" s="176"/>
    </row>
    <row r="2" spans="1:11">
      <c r="A2" s="105" t="s">
        <v>43</v>
      </c>
      <c r="B2" s="2" t="s">
        <v>14</v>
      </c>
      <c r="C2" s="92" t="s">
        <v>15</v>
      </c>
      <c r="D2" s="92" t="s">
        <v>16</v>
      </c>
    </row>
    <row r="3" spans="1:11">
      <c r="A3" s="104" t="s">
        <v>25</v>
      </c>
      <c r="B3" s="103" t="s">
        <v>224</v>
      </c>
      <c r="C3" s="200">
        <f>K11</f>
        <v>0.10636844664127709</v>
      </c>
      <c r="D3" s="200">
        <f>D43</f>
        <v>5.9442809649676041E-2</v>
      </c>
    </row>
    <row r="4" spans="1:11">
      <c r="A4" s="104" t="s">
        <v>44</v>
      </c>
      <c r="B4" s="103" t="s">
        <v>224</v>
      </c>
      <c r="C4" s="200">
        <f>K12</f>
        <v>0.12164056411208016</v>
      </c>
      <c r="D4" s="200">
        <f>I43</f>
        <v>6.6284559719008956E-2</v>
      </c>
    </row>
    <row r="5" spans="1:11">
      <c r="A5" s="104" t="s">
        <v>25</v>
      </c>
      <c r="B5" s="103" t="s">
        <v>225</v>
      </c>
      <c r="C5" s="200">
        <f>J11</f>
        <v>0.12715068065796942</v>
      </c>
      <c r="D5" s="200">
        <f>D43</f>
        <v>5.9442809649676041E-2</v>
      </c>
    </row>
    <row r="6" spans="1:11">
      <c r="A6" s="104" t="s">
        <v>44</v>
      </c>
      <c r="B6" s="103" t="s">
        <v>225</v>
      </c>
      <c r="C6" s="200">
        <f>J12</f>
        <v>0.190690486066388</v>
      </c>
      <c r="D6" s="200">
        <f>I43</f>
        <v>6.6284559719008956E-2</v>
      </c>
    </row>
    <row r="7" spans="1:11">
      <c r="C7" s="200"/>
    </row>
    <row r="10" spans="1:11" s="204" customFormat="1" ht="51">
      <c r="C10" s="217" t="s">
        <v>43</v>
      </c>
      <c r="D10" s="217" t="s">
        <v>254</v>
      </c>
      <c r="E10" s="217" t="s">
        <v>259</v>
      </c>
      <c r="F10" s="217" t="s">
        <v>258</v>
      </c>
      <c r="G10" s="217" t="s">
        <v>43</v>
      </c>
      <c r="H10" s="217" t="s">
        <v>260</v>
      </c>
      <c r="I10" s="217" t="s">
        <v>261</v>
      </c>
      <c r="J10" s="217" t="s">
        <v>263</v>
      </c>
      <c r="K10" s="217" t="s">
        <v>264</v>
      </c>
    </row>
    <row r="11" spans="1:11">
      <c r="C11" s="218" t="s">
        <v>25</v>
      </c>
      <c r="D11" s="214">
        <f>D42</f>
        <v>0.11438095238095239</v>
      </c>
      <c r="E11" s="214">
        <f>E42</f>
        <v>0.18665000000000001</v>
      </c>
      <c r="F11" s="214">
        <f>F42</f>
        <v>0.15614285714285717</v>
      </c>
      <c r="G11" s="215">
        <f>G42</f>
        <v>0.16790476190476186</v>
      </c>
      <c r="H11" s="216">
        <f>E11/G11</f>
        <v>1.1116420873511064</v>
      </c>
      <c r="I11" s="216">
        <f>F11/G11</f>
        <v>0.92994895065229755</v>
      </c>
      <c r="J11" s="216">
        <f>H11*D11</f>
        <v>0.12715068065796942</v>
      </c>
      <c r="K11" s="216">
        <f>I11*D11</f>
        <v>0.10636844664127709</v>
      </c>
    </row>
    <row r="12" spans="1:11" s="203" customFormat="1">
      <c r="C12" s="218" t="s">
        <v>44</v>
      </c>
      <c r="D12" s="214">
        <f>I42</f>
        <v>0.15474999999999997</v>
      </c>
      <c r="E12" s="214">
        <f>J42</f>
        <v>0.22135294117647061</v>
      </c>
      <c r="F12" s="214">
        <f>K42</f>
        <v>0.14119999999999999</v>
      </c>
      <c r="G12" s="214">
        <f>L42</f>
        <v>0.17963333333333328</v>
      </c>
      <c r="H12" s="216">
        <f>E12/G12</f>
        <v>1.2322486983288403</v>
      </c>
      <c r="I12" s="216">
        <f>F12/G12</f>
        <v>0.78604564854332915</v>
      </c>
      <c r="J12" s="216">
        <f>H12*D12</f>
        <v>0.190690486066388</v>
      </c>
      <c r="K12" s="216">
        <f>I12*D12</f>
        <v>0.12164056411208016</v>
      </c>
    </row>
    <row r="19" spans="2:13">
      <c r="B19" s="278" t="s">
        <v>252</v>
      </c>
      <c r="C19" s="278" t="s">
        <v>253</v>
      </c>
      <c r="D19" s="277" t="s">
        <v>262</v>
      </c>
      <c r="E19" s="277"/>
      <c r="F19" s="277"/>
      <c r="G19" s="277"/>
      <c r="H19" s="277"/>
      <c r="I19" s="276" t="s">
        <v>265</v>
      </c>
      <c r="J19" s="276"/>
      <c r="K19" s="276"/>
      <c r="L19" s="276"/>
      <c r="M19" s="276"/>
    </row>
    <row r="20" spans="2:13" s="204" customFormat="1" ht="49" customHeight="1">
      <c r="B20" s="278"/>
      <c r="C20" s="278"/>
      <c r="D20" s="210" t="s">
        <v>254</v>
      </c>
      <c r="E20" s="210" t="s">
        <v>255</v>
      </c>
      <c r="F20" s="210" t="s">
        <v>256</v>
      </c>
      <c r="G20" s="210" t="s">
        <v>43</v>
      </c>
      <c r="H20" s="210" t="s">
        <v>257</v>
      </c>
      <c r="I20" s="211" t="s">
        <v>254</v>
      </c>
      <c r="J20" s="211" t="s">
        <v>255</v>
      </c>
      <c r="K20" s="211" t="s">
        <v>256</v>
      </c>
      <c r="L20" s="211"/>
      <c r="M20" s="211" t="s">
        <v>257</v>
      </c>
    </row>
    <row r="21" spans="2:13">
      <c r="B21" s="212">
        <v>1993</v>
      </c>
      <c r="C21" s="212">
        <v>1995</v>
      </c>
      <c r="D21" s="207">
        <v>0.154</v>
      </c>
      <c r="E21" s="207">
        <v>0.23799999999999999</v>
      </c>
      <c r="F21" s="207">
        <v>0.27900000000000003</v>
      </c>
      <c r="G21" s="207">
        <f>AVERAGE(E21:F21)</f>
        <v>0.25850000000000001</v>
      </c>
      <c r="H21" s="207">
        <v>0.50600000000000001</v>
      </c>
      <c r="I21" s="209">
        <v>0.17299999999999999</v>
      </c>
      <c r="J21" s="209">
        <v>0.22800000000000001</v>
      </c>
      <c r="K21" s="209">
        <v>0.151</v>
      </c>
      <c r="L21" s="209">
        <f>AVERAGE(J21:K21)</f>
        <v>0.1895</v>
      </c>
      <c r="M21" s="209">
        <v>0.60899999999999999</v>
      </c>
    </row>
    <row r="22" spans="2:13">
      <c r="B22" s="212">
        <v>1994</v>
      </c>
      <c r="C22" s="212">
        <v>1996</v>
      </c>
      <c r="D22" s="207">
        <v>0.27700000000000002</v>
      </c>
      <c r="E22" s="207">
        <v>0.35799999999999998</v>
      </c>
      <c r="F22" s="207">
        <v>0.312</v>
      </c>
      <c r="G22" s="207">
        <f t="shared" ref="G22:G41" si="0">AVERAGE(E22:F22)</f>
        <v>0.33499999999999996</v>
      </c>
      <c r="H22" s="207">
        <v>0.59099999999999997</v>
      </c>
      <c r="I22" s="209"/>
      <c r="J22" s="209"/>
      <c r="K22" s="209"/>
      <c r="L22" s="209"/>
      <c r="M22" s="209">
        <v>0.51200000000000001</v>
      </c>
    </row>
    <row r="23" spans="2:13">
      <c r="B23" s="212">
        <v>1995</v>
      </c>
      <c r="C23" s="212">
        <v>1997</v>
      </c>
      <c r="D23" s="207">
        <v>0.17599999999999999</v>
      </c>
      <c r="E23" s="207">
        <v>0.36499999999999999</v>
      </c>
      <c r="F23" s="207">
        <v>7.8E-2</v>
      </c>
      <c r="G23" s="207">
        <f t="shared" si="0"/>
        <v>0.2215</v>
      </c>
      <c r="H23" s="207">
        <v>0.41299999999999998</v>
      </c>
      <c r="I23" s="209"/>
      <c r="J23" s="209"/>
      <c r="K23" s="209"/>
      <c r="L23" s="209"/>
      <c r="M23" s="209"/>
    </row>
    <row r="24" spans="2:13">
      <c r="B24" s="212">
        <v>1996</v>
      </c>
      <c r="C24" s="212">
        <v>1998</v>
      </c>
      <c r="D24" s="207">
        <v>0.21099999999999999</v>
      </c>
      <c r="E24" s="207">
        <v>0.23799999999999999</v>
      </c>
      <c r="F24" s="207">
        <v>0.27800000000000002</v>
      </c>
      <c r="G24" s="207">
        <f t="shared" si="0"/>
        <v>0.25800000000000001</v>
      </c>
      <c r="H24" s="207">
        <v>0.51700000000000002</v>
      </c>
      <c r="I24" s="209"/>
      <c r="J24" s="209">
        <v>0.28599999999999998</v>
      </c>
      <c r="K24" s="209">
        <v>0.113</v>
      </c>
      <c r="L24" s="209">
        <f>AVERAGE(J24:K24)</f>
        <v>0.19949999999999998</v>
      </c>
      <c r="M24" s="209">
        <v>0.54800000000000004</v>
      </c>
    </row>
    <row r="25" spans="2:13">
      <c r="B25" s="212">
        <v>1997</v>
      </c>
      <c r="C25" s="212">
        <v>1999</v>
      </c>
      <c r="D25" s="207">
        <v>0.157</v>
      </c>
      <c r="E25" s="207">
        <v>0.20200000000000001</v>
      </c>
      <c r="F25" s="207">
        <v>0.28499999999999998</v>
      </c>
      <c r="G25" s="207">
        <f t="shared" si="0"/>
        <v>0.24349999999999999</v>
      </c>
      <c r="H25" s="207">
        <v>0.44800000000000001</v>
      </c>
      <c r="I25" s="209"/>
      <c r="J25" s="209">
        <v>0.26900000000000002</v>
      </c>
      <c r="K25" s="209">
        <v>0.11700000000000001</v>
      </c>
      <c r="L25" s="209">
        <f t="shared" ref="L25:L41" si="1">AVERAGE(J25:K25)</f>
        <v>0.193</v>
      </c>
      <c r="M25" s="209">
        <v>0.53800000000000003</v>
      </c>
    </row>
    <row r="26" spans="2:13">
      <c r="B26" s="212">
        <v>1998</v>
      </c>
      <c r="C26" s="212">
        <v>2000</v>
      </c>
      <c r="D26" s="207">
        <v>0.151</v>
      </c>
      <c r="E26" s="207">
        <v>0.21199999999999999</v>
      </c>
      <c r="F26" s="207">
        <v>0.13800000000000001</v>
      </c>
      <c r="G26" s="207">
        <f t="shared" si="0"/>
        <v>0.17499999999999999</v>
      </c>
      <c r="H26" s="207">
        <v>0.45200000000000001</v>
      </c>
      <c r="I26" s="209"/>
      <c r="J26" s="209">
        <v>0.34100000000000003</v>
      </c>
      <c r="K26" s="209">
        <v>0.13300000000000001</v>
      </c>
      <c r="L26" s="209">
        <f t="shared" si="1"/>
        <v>0.23700000000000002</v>
      </c>
      <c r="M26" s="209">
        <v>0.56000000000000005</v>
      </c>
    </row>
    <row r="27" spans="2:13">
      <c r="B27" s="212">
        <v>1999</v>
      </c>
      <c r="C27" s="212">
        <v>2001</v>
      </c>
      <c r="D27" s="207">
        <v>8.6999999999999994E-2</v>
      </c>
      <c r="E27" s="207">
        <v>0.13</v>
      </c>
      <c r="F27" s="207">
        <v>7.6999999999999999E-2</v>
      </c>
      <c r="G27" s="207">
        <f t="shared" si="0"/>
        <v>0.10350000000000001</v>
      </c>
      <c r="H27" s="207">
        <v>0.376</v>
      </c>
      <c r="I27" s="196"/>
      <c r="J27" s="209"/>
      <c r="K27" s="209"/>
      <c r="L27" s="209"/>
      <c r="M27" s="209"/>
    </row>
    <row r="28" spans="2:13">
      <c r="B28" s="212">
        <v>2000</v>
      </c>
      <c r="C28" s="212">
        <v>2002</v>
      </c>
      <c r="D28" s="207">
        <v>0.109</v>
      </c>
      <c r="E28" s="207">
        <v>0.154</v>
      </c>
      <c r="F28" s="207">
        <v>0.20300000000000001</v>
      </c>
      <c r="G28" s="207">
        <f t="shared" si="0"/>
        <v>0.17849999999999999</v>
      </c>
      <c r="H28" s="207">
        <v>0.52700000000000002</v>
      </c>
      <c r="I28" s="209"/>
      <c r="J28" s="209">
        <v>0.308</v>
      </c>
      <c r="K28" s="209"/>
      <c r="L28" s="209"/>
      <c r="M28" s="209">
        <v>0.499</v>
      </c>
    </row>
    <row r="29" spans="2:13">
      <c r="B29" s="213">
        <v>2001</v>
      </c>
      <c r="C29" s="212">
        <v>2003</v>
      </c>
      <c r="D29" s="207">
        <v>7.4999999999999997E-2</v>
      </c>
      <c r="E29" s="207">
        <v>0.12</v>
      </c>
      <c r="F29" s="207">
        <v>0.152</v>
      </c>
      <c r="G29" s="207">
        <f t="shared" si="0"/>
        <v>0.13600000000000001</v>
      </c>
      <c r="H29" s="207">
        <v>0.36499999999999999</v>
      </c>
      <c r="I29" s="209"/>
      <c r="J29" s="209">
        <v>0.184</v>
      </c>
      <c r="K29" s="209"/>
      <c r="L29" s="209"/>
      <c r="M29" s="209">
        <v>0.39700000000000002</v>
      </c>
    </row>
    <row r="30" spans="2:13">
      <c r="B30" s="213">
        <v>2002</v>
      </c>
      <c r="C30" s="212">
        <v>2004</v>
      </c>
      <c r="D30" s="207">
        <v>7.1999999999999995E-2</v>
      </c>
      <c r="E30" s="207">
        <v>0.126</v>
      </c>
      <c r="F30" s="207">
        <v>0.17799999999999999</v>
      </c>
      <c r="G30" s="207">
        <f t="shared" si="0"/>
        <v>0.152</v>
      </c>
      <c r="H30" s="207">
        <v>0.41299999999999998</v>
      </c>
      <c r="I30" s="209"/>
      <c r="J30" s="209">
        <v>0.16400000000000001</v>
      </c>
      <c r="K30" s="209">
        <v>0.29599999999999999</v>
      </c>
      <c r="L30" s="209">
        <f t="shared" si="1"/>
        <v>0.22999999999999998</v>
      </c>
      <c r="M30" s="209">
        <v>0.42</v>
      </c>
    </row>
    <row r="31" spans="2:13">
      <c r="B31" s="213">
        <v>2003</v>
      </c>
      <c r="C31" s="212">
        <v>2005</v>
      </c>
      <c r="D31" s="207">
        <v>5.7000000000000002E-2</v>
      </c>
      <c r="E31" s="207">
        <v>0.122</v>
      </c>
      <c r="F31" s="207">
        <v>0.112</v>
      </c>
      <c r="G31" s="207">
        <f t="shared" si="0"/>
        <v>0.11699999999999999</v>
      </c>
      <c r="H31" s="207">
        <v>0.44500000000000001</v>
      </c>
      <c r="I31" s="209"/>
      <c r="J31" s="209">
        <v>0.13800000000000001</v>
      </c>
      <c r="K31" s="209">
        <v>0.20699999999999999</v>
      </c>
      <c r="L31" s="209">
        <f t="shared" si="1"/>
        <v>0.17249999999999999</v>
      </c>
      <c r="M31" s="209">
        <v>0.374</v>
      </c>
    </row>
    <row r="32" spans="2:13">
      <c r="B32" s="213">
        <v>2004</v>
      </c>
      <c r="C32" s="212">
        <v>2006</v>
      </c>
      <c r="D32" s="207">
        <v>5.7000000000000002E-2</v>
      </c>
      <c r="E32" s="207">
        <v>7.3999999999999996E-2</v>
      </c>
      <c r="F32" s="207">
        <v>0.125</v>
      </c>
      <c r="G32" s="207">
        <f t="shared" si="0"/>
        <v>9.9500000000000005E-2</v>
      </c>
      <c r="H32" s="207">
        <v>0.36699999999999999</v>
      </c>
      <c r="I32" s="209"/>
      <c r="J32" s="209">
        <v>0.17100000000000001</v>
      </c>
      <c r="K32" s="209">
        <v>0.08</v>
      </c>
      <c r="L32" s="209">
        <f t="shared" si="1"/>
        <v>0.1255</v>
      </c>
      <c r="M32" s="209">
        <v>0.39800000000000002</v>
      </c>
    </row>
    <row r="33" spans="2:13">
      <c r="B33" s="213">
        <v>2005</v>
      </c>
      <c r="C33" s="212">
        <v>2007</v>
      </c>
      <c r="D33" s="207">
        <v>4.2000000000000003E-2</v>
      </c>
      <c r="E33" s="207">
        <v>0.20300000000000001</v>
      </c>
      <c r="F33" s="207">
        <v>8.7999999999999995E-2</v>
      </c>
      <c r="G33" s="207">
        <f t="shared" si="0"/>
        <v>0.14550000000000002</v>
      </c>
      <c r="H33" s="207">
        <v>0.31</v>
      </c>
      <c r="I33" s="209"/>
      <c r="J33" s="209">
        <v>0.24199999999999999</v>
      </c>
      <c r="K33" s="209">
        <v>0.16900000000000001</v>
      </c>
      <c r="L33" s="209">
        <f t="shared" si="1"/>
        <v>0.20550000000000002</v>
      </c>
      <c r="M33" s="209">
        <v>0.373</v>
      </c>
    </row>
    <row r="34" spans="2:13">
      <c r="B34" s="212">
        <v>2006</v>
      </c>
      <c r="C34" s="212">
        <v>2008</v>
      </c>
      <c r="D34" s="207">
        <v>0.08</v>
      </c>
      <c r="E34" s="207">
        <v>0.153</v>
      </c>
      <c r="F34" s="207">
        <v>0.14399999999999999</v>
      </c>
      <c r="G34" s="207">
        <f t="shared" si="0"/>
        <v>0.14849999999999999</v>
      </c>
      <c r="H34" s="207">
        <v>0.38</v>
      </c>
      <c r="I34" s="209">
        <v>0.26400000000000001</v>
      </c>
      <c r="J34" s="209">
        <v>0.33800000000000002</v>
      </c>
      <c r="K34" s="209">
        <v>0.36099999999999999</v>
      </c>
      <c r="L34" s="209">
        <f t="shared" si="1"/>
        <v>0.34950000000000003</v>
      </c>
      <c r="M34" s="209">
        <v>0.41799999999999998</v>
      </c>
    </row>
    <row r="35" spans="2:13">
      <c r="B35" s="212">
        <v>2007</v>
      </c>
      <c r="C35" s="212">
        <v>2009</v>
      </c>
      <c r="D35" s="207">
        <v>0.14699999999999999</v>
      </c>
      <c r="E35" s="207">
        <v>0.26900000000000002</v>
      </c>
      <c r="F35" s="207">
        <v>0.11</v>
      </c>
      <c r="G35" s="207">
        <f t="shared" si="0"/>
        <v>0.1895</v>
      </c>
      <c r="H35" s="207">
        <v>0.49099999999999999</v>
      </c>
      <c r="I35" s="209"/>
      <c r="J35" s="209"/>
      <c r="K35" s="209"/>
      <c r="L35" s="209"/>
      <c r="M35" s="209"/>
    </row>
    <row r="36" spans="2:13">
      <c r="B36" s="212">
        <v>2008</v>
      </c>
      <c r="C36" s="212">
        <v>2010</v>
      </c>
      <c r="D36" s="207">
        <v>0.107</v>
      </c>
      <c r="E36" s="207">
        <v>0.18</v>
      </c>
      <c r="F36" s="207">
        <v>0.183</v>
      </c>
      <c r="G36" s="207">
        <f t="shared" si="0"/>
        <v>0.18149999999999999</v>
      </c>
      <c r="H36" s="207">
        <v>0.46400000000000002</v>
      </c>
      <c r="I36" s="209">
        <v>0.23499999999999999</v>
      </c>
      <c r="J36" s="209">
        <v>0.20899999999999999</v>
      </c>
      <c r="K36" s="209">
        <v>0.125</v>
      </c>
      <c r="L36" s="209">
        <f t="shared" si="1"/>
        <v>0.16699999999999998</v>
      </c>
      <c r="M36" s="209">
        <v>0.46800000000000003</v>
      </c>
    </row>
    <row r="37" spans="2:13">
      <c r="B37" s="212">
        <v>2009</v>
      </c>
      <c r="C37" s="212">
        <v>2011</v>
      </c>
      <c r="D37" s="207">
        <v>0.128</v>
      </c>
      <c r="E37" s="207">
        <v>0.156</v>
      </c>
      <c r="F37" s="207">
        <v>0.17399999999999999</v>
      </c>
      <c r="G37" s="207">
        <f t="shared" si="0"/>
        <v>0.16499999999999998</v>
      </c>
      <c r="H37" s="207">
        <v>0.42199999999999999</v>
      </c>
      <c r="I37" s="209">
        <v>0.125</v>
      </c>
      <c r="J37" s="209">
        <v>0.22500000000000001</v>
      </c>
      <c r="K37" s="209">
        <v>0.124</v>
      </c>
      <c r="L37" s="209">
        <f t="shared" si="1"/>
        <v>0.17449999999999999</v>
      </c>
      <c r="M37" s="209">
        <v>0.44700000000000001</v>
      </c>
    </row>
    <row r="38" spans="2:13">
      <c r="B38" s="212">
        <v>2010</v>
      </c>
      <c r="C38" s="212">
        <v>2012</v>
      </c>
      <c r="D38" s="207">
        <v>0.11600000000000001</v>
      </c>
      <c r="E38" s="207">
        <v>0.188</v>
      </c>
      <c r="F38" s="207">
        <v>9.9000000000000005E-2</v>
      </c>
      <c r="G38" s="207">
        <f t="shared" si="0"/>
        <v>0.14350000000000002</v>
      </c>
      <c r="H38" s="207">
        <v>0.30199999999999999</v>
      </c>
      <c r="I38" s="209">
        <v>8.3000000000000004E-2</v>
      </c>
      <c r="J38" s="209">
        <v>0.19600000000000001</v>
      </c>
      <c r="K38" s="209">
        <v>4.2999999999999997E-2</v>
      </c>
      <c r="L38" s="209">
        <f t="shared" si="1"/>
        <v>0.1195</v>
      </c>
      <c r="M38" s="209">
        <v>0.40500000000000003</v>
      </c>
    </row>
    <row r="39" spans="2:13">
      <c r="B39" s="212">
        <v>2011</v>
      </c>
      <c r="C39" s="212">
        <v>2013</v>
      </c>
      <c r="D39" s="207">
        <v>5.0999999999999997E-2</v>
      </c>
      <c r="E39" s="207">
        <v>0.10100000000000001</v>
      </c>
      <c r="F39" s="207">
        <v>0.108</v>
      </c>
      <c r="G39" s="207">
        <f t="shared" si="0"/>
        <v>0.10450000000000001</v>
      </c>
      <c r="H39" s="207">
        <v>0.22</v>
      </c>
      <c r="I39" s="209">
        <v>9.8000000000000004E-2</v>
      </c>
      <c r="J39" s="209">
        <v>0.17699999999999999</v>
      </c>
      <c r="K39" s="209">
        <v>5.7000000000000002E-2</v>
      </c>
      <c r="L39" s="209">
        <f t="shared" si="1"/>
        <v>0.11699999999999999</v>
      </c>
      <c r="M39" s="209">
        <v>0.314</v>
      </c>
    </row>
    <row r="40" spans="2:13">
      <c r="B40" s="212">
        <v>2012</v>
      </c>
      <c r="C40" s="212">
        <v>2014</v>
      </c>
      <c r="D40" s="207">
        <v>9.1999999999999998E-2</v>
      </c>
      <c r="E40" s="207">
        <v>0.14399999999999999</v>
      </c>
      <c r="F40" s="207">
        <v>0.11600000000000001</v>
      </c>
      <c r="G40" s="207">
        <f t="shared" si="0"/>
        <v>0.13</v>
      </c>
      <c r="H40" s="207">
        <v>0.34</v>
      </c>
      <c r="I40" s="209">
        <v>0.10199999999999999</v>
      </c>
      <c r="J40" s="209">
        <v>0.20100000000000001</v>
      </c>
      <c r="K40" s="209">
        <v>7.1999999999999995E-2</v>
      </c>
      <c r="L40" s="209">
        <f t="shared" si="1"/>
        <v>0.13650000000000001</v>
      </c>
      <c r="M40" s="209">
        <v>0.34</v>
      </c>
    </row>
    <row r="41" spans="2:13">
      <c r="B41" s="212">
        <v>2013</v>
      </c>
      <c r="C41" s="212">
        <v>2015</v>
      </c>
      <c r="D41" s="208">
        <v>5.6000000000000001E-2</v>
      </c>
      <c r="E41" s="208"/>
      <c r="F41" s="208">
        <v>0.04</v>
      </c>
      <c r="G41" s="207">
        <f t="shared" si="0"/>
        <v>0.04</v>
      </c>
      <c r="H41" s="208">
        <v>0.28000000000000003</v>
      </c>
      <c r="I41" s="209">
        <v>0.158</v>
      </c>
      <c r="J41" s="209">
        <v>8.5999999999999993E-2</v>
      </c>
      <c r="K41" s="209">
        <v>7.0000000000000007E-2</v>
      </c>
      <c r="L41" s="209">
        <f t="shared" si="1"/>
        <v>7.8E-2</v>
      </c>
      <c r="M41" s="209">
        <v>0.30299999999999999</v>
      </c>
    </row>
    <row r="42" spans="2:13">
      <c r="C42" s="205" t="s">
        <v>195</v>
      </c>
      <c r="D42" s="184">
        <f t="shared" ref="D42:M42" si="2">AVERAGE(D21:D41)</f>
        <v>0.11438095238095239</v>
      </c>
      <c r="E42" s="184">
        <f t="shared" si="2"/>
        <v>0.18665000000000001</v>
      </c>
      <c r="F42" s="184">
        <f t="shared" si="2"/>
        <v>0.15614285714285717</v>
      </c>
      <c r="G42" s="184">
        <f t="shared" si="2"/>
        <v>0.16790476190476186</v>
      </c>
      <c r="H42" s="184">
        <f t="shared" si="2"/>
        <v>0.41090476190476188</v>
      </c>
      <c r="I42" s="184">
        <f t="shared" si="2"/>
        <v>0.15474999999999997</v>
      </c>
      <c r="J42" s="184">
        <f t="shared" si="2"/>
        <v>0.22135294117647061</v>
      </c>
      <c r="K42" s="184">
        <f t="shared" si="2"/>
        <v>0.14119999999999999</v>
      </c>
      <c r="L42" s="206">
        <f t="shared" si="2"/>
        <v>0.17963333333333328</v>
      </c>
      <c r="M42" s="184">
        <f t="shared" si="2"/>
        <v>0.44016666666666665</v>
      </c>
    </row>
    <row r="43" spans="2:13">
      <c r="C43" s="205" t="s">
        <v>166</v>
      </c>
      <c r="D43" s="184">
        <f>STDEV(D21:D41)</f>
        <v>5.9442809649676041E-2</v>
      </c>
      <c r="E43" s="184">
        <f>STDEV(E21:E41)</f>
        <v>7.7767720945470881E-2</v>
      </c>
      <c r="F43" s="184">
        <f>STDEV(F21:F41)</f>
        <v>7.6743264013387949E-2</v>
      </c>
      <c r="G43" s="184"/>
      <c r="H43" s="184">
        <f>STDEV(H21:H41)</f>
        <v>9.1286310453377706E-2</v>
      </c>
      <c r="I43" s="184">
        <f>STDEV(I21:I41)</f>
        <v>6.6284559719008956E-2</v>
      </c>
      <c r="J43" s="184">
        <f>STDEV(J21:J41)</f>
        <v>6.9833678458597656E-2</v>
      </c>
      <c r="K43" s="184">
        <f>STDEV(K21:K41)</f>
        <v>8.8566520601345594E-2</v>
      </c>
      <c r="L43" s="202"/>
      <c r="M43" s="184">
        <f>STDEV(M21:M41)</f>
        <v>8.843026498154323E-2</v>
      </c>
    </row>
  </sheetData>
  <mergeCells count="4">
    <mergeCell ref="D19:H19"/>
    <mergeCell ref="C19:C20"/>
    <mergeCell ref="B19:B20"/>
    <mergeCell ref="I19:M19"/>
  </mergeCell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6C63BA-C10E-E945-9575-35EF7AA9BB3F}">
  <dimension ref="A1:Y84"/>
  <sheetViews>
    <sheetView topLeftCell="J7" zoomScale="67" zoomScaleNormal="67" workbookViewId="0">
      <selection activeCell="R13" sqref="R13"/>
    </sheetView>
  </sheetViews>
  <sheetFormatPr baseColWidth="10" defaultColWidth="11" defaultRowHeight="16"/>
  <cols>
    <col min="1" max="1" width="10.83203125" customWidth="1"/>
    <col min="2" max="2" width="24" customWidth="1"/>
    <col min="3" max="3" width="13.33203125" bestFit="1" customWidth="1"/>
    <col min="4" max="4" width="14.33203125" bestFit="1" customWidth="1"/>
    <col min="5" max="5" width="9.33203125" bestFit="1" customWidth="1"/>
    <col min="6" max="6" width="12.6640625" bestFit="1" customWidth="1"/>
    <col min="7" max="7" width="16.5" customWidth="1"/>
    <col min="8" max="8" width="16.6640625" customWidth="1"/>
    <col min="12" max="12" width="12.33203125" customWidth="1"/>
    <col min="13" max="13" width="14.33203125" customWidth="1"/>
  </cols>
  <sheetData>
    <row r="1" spans="1:25" s="4" customFormat="1" ht="28" customHeight="1">
      <c r="A1" s="4" t="s">
        <v>90</v>
      </c>
      <c r="I1" s="51" t="s">
        <v>113</v>
      </c>
    </row>
    <row r="2" spans="1:25" s="6" customFormat="1" ht="21" customHeight="1">
      <c r="A2" s="6" t="s">
        <v>286</v>
      </c>
      <c r="B2" s="16" t="s">
        <v>43</v>
      </c>
      <c r="C2" s="2" t="s">
        <v>14</v>
      </c>
      <c r="D2" s="2" t="s">
        <v>15</v>
      </c>
      <c r="E2" s="2" t="s">
        <v>16</v>
      </c>
      <c r="F2" s="2" t="s">
        <v>18</v>
      </c>
      <c r="G2" s="2" t="s">
        <v>19</v>
      </c>
      <c r="H2" s="16" t="s">
        <v>289</v>
      </c>
      <c r="J2" s="249" t="s">
        <v>285</v>
      </c>
    </row>
    <row r="3" spans="1:25" s="6" customFormat="1">
      <c r="A3" s="6" t="str">
        <f>B3&amp;C3</f>
        <v>CCLGDSmolt_LGDAdult1</v>
      </c>
      <c r="B3" s="6" t="s">
        <v>25</v>
      </c>
      <c r="C3" s="1" t="s">
        <v>107</v>
      </c>
      <c r="D3" s="15">
        <f>N38</f>
        <v>3.8171687481170578E-2</v>
      </c>
      <c r="E3" s="15">
        <f>N39</f>
        <v>2.1957308969373115E-2</v>
      </c>
      <c r="F3" s="15">
        <f>Q38</f>
        <v>3.7911749847960224E-2</v>
      </c>
      <c r="G3" s="6">
        <v>0</v>
      </c>
      <c r="H3" s="6">
        <f>$N$6</f>
        <v>0.55578682582946626</v>
      </c>
    </row>
    <row r="4" spans="1:25" s="6" customFormat="1">
      <c r="A4" s="6" t="str">
        <f t="shared" ref="A4:A12" si="0">B4&amp;C4</f>
        <v>CCLGDSmolt_OceanAdult1</v>
      </c>
      <c r="B4" s="6" t="s">
        <v>25</v>
      </c>
      <c r="C4" s="1" t="s">
        <v>108</v>
      </c>
      <c r="D4" s="15">
        <f>D3</f>
        <v>3.8171687481170578E-2</v>
      </c>
      <c r="E4" s="15">
        <f>E3</f>
        <v>2.1957308969373115E-2</v>
      </c>
      <c r="F4" s="15">
        <f>1-F3</f>
        <v>0.9620882501520398</v>
      </c>
      <c r="G4" s="6">
        <v>0</v>
      </c>
      <c r="H4" s="6">
        <f>$N$6</f>
        <v>0.55578682582946626</v>
      </c>
    </row>
    <row r="5" spans="1:25" s="6" customFormat="1">
      <c r="A5" s="6" t="str">
        <f t="shared" si="0"/>
        <v>CCOceanAdult1_LGDAdult2</v>
      </c>
      <c r="B5" s="6" t="s">
        <v>25</v>
      </c>
      <c r="C5" s="1" t="s">
        <v>109</v>
      </c>
      <c r="D5" s="15">
        <f>O38</f>
        <v>0.46037583454294806</v>
      </c>
      <c r="E5" s="15">
        <f>O39</f>
        <v>0.13105322754510987</v>
      </c>
      <c r="F5" s="15">
        <f>R38</f>
        <v>0.66536235147385603</v>
      </c>
      <c r="G5" s="6">
        <v>0</v>
      </c>
      <c r="H5" s="6">
        <f>$N$6</f>
        <v>0.55578682582946626</v>
      </c>
      <c r="L5" s="6" t="s">
        <v>43</v>
      </c>
      <c r="M5" s="6" t="s">
        <v>287</v>
      </c>
      <c r="N5" s="6" t="s">
        <v>288</v>
      </c>
    </row>
    <row r="6" spans="1:25" s="6" customFormat="1">
      <c r="A6" s="6" t="str">
        <f t="shared" si="0"/>
        <v>CCOceanAdult1_OceanAdult2</v>
      </c>
      <c r="B6" s="6" t="s">
        <v>25</v>
      </c>
      <c r="C6" s="1" t="s">
        <v>110</v>
      </c>
      <c r="D6" s="15">
        <f>D5</f>
        <v>0.46037583454294806</v>
      </c>
      <c r="E6" s="15">
        <f>E5</f>
        <v>0.13105322754510987</v>
      </c>
      <c r="F6" s="15">
        <f>1-F5</f>
        <v>0.33463764852614397</v>
      </c>
      <c r="G6" s="6">
        <v>0</v>
      </c>
      <c r="H6" s="6">
        <f>$N$6</f>
        <v>0.55578682582946626</v>
      </c>
      <c r="L6" s="6" t="s">
        <v>25</v>
      </c>
      <c r="M6" s="6">
        <v>1.0289999999999999</v>
      </c>
      <c r="N6" s="6">
        <f>M6/D38</f>
        <v>0.55578682582946626</v>
      </c>
    </row>
    <row r="7" spans="1:25" s="6" customFormat="1">
      <c r="A7" s="6" t="str">
        <f t="shared" si="0"/>
        <v>CCOceanAdult2_LGDAdult3</v>
      </c>
      <c r="B7" s="6" t="s">
        <v>25</v>
      </c>
      <c r="C7" s="1" t="s">
        <v>111</v>
      </c>
      <c r="D7" s="15">
        <f>P38</f>
        <v>0.5576299002265247</v>
      </c>
      <c r="E7" s="15">
        <f>P39</f>
        <v>0.12152758051965243</v>
      </c>
      <c r="F7" s="49">
        <v>1</v>
      </c>
      <c r="G7" s="6">
        <v>0</v>
      </c>
      <c r="H7" s="6">
        <f>$N$6</f>
        <v>0.55578682582946626</v>
      </c>
      <c r="L7" s="6" t="s">
        <v>44</v>
      </c>
      <c r="M7" s="6">
        <v>0.41699999999999998</v>
      </c>
      <c r="N7" s="6">
        <f>M7/D63</f>
        <v>0.40462873930444709</v>
      </c>
      <c r="S7"/>
    </row>
    <row r="8" spans="1:25">
      <c r="A8" s="6" t="str">
        <f t="shared" si="0"/>
        <v>UGRLGDSmolt_LGDAdult1</v>
      </c>
      <c r="B8" s="6" t="s">
        <v>44</v>
      </c>
      <c r="C8" s="1" t="s">
        <v>107</v>
      </c>
      <c r="D8" s="15">
        <f>N63</f>
        <v>2.7390366035103246E-2</v>
      </c>
      <c r="E8" s="15">
        <f>N64</f>
        <v>1.6182176961309979E-2</v>
      </c>
      <c r="F8" s="15">
        <f>Q63</f>
        <v>2.7987586025958716E-2</v>
      </c>
      <c r="G8" s="6">
        <v>0</v>
      </c>
      <c r="H8" s="6">
        <f>$N$7</f>
        <v>0.40462873930444709</v>
      </c>
    </row>
    <row r="9" spans="1:25">
      <c r="A9" s="6" t="str">
        <f t="shared" si="0"/>
        <v>UGRLGDSmolt_OceanAdult1</v>
      </c>
      <c r="B9" s="6" t="s">
        <v>44</v>
      </c>
      <c r="C9" s="1" t="s">
        <v>108</v>
      </c>
      <c r="D9" s="15">
        <f>D8</f>
        <v>2.7390366035103246E-2</v>
      </c>
      <c r="E9" s="15">
        <f>E8</f>
        <v>1.6182176961309979E-2</v>
      </c>
      <c r="F9" s="15">
        <f>1-F8</f>
        <v>0.97201241397404126</v>
      </c>
      <c r="G9" s="6">
        <v>0</v>
      </c>
      <c r="H9" s="6">
        <f>$N$7</f>
        <v>0.40462873930444709</v>
      </c>
    </row>
    <row r="10" spans="1:25">
      <c r="A10" s="6" t="str">
        <f t="shared" si="0"/>
        <v>UGROceanAdult1_LGDAdult2</v>
      </c>
      <c r="B10" s="6" t="s">
        <v>44</v>
      </c>
      <c r="C10" s="1" t="s">
        <v>109</v>
      </c>
      <c r="D10" s="15">
        <f>O63</f>
        <v>0.4609453991186368</v>
      </c>
      <c r="E10" s="15">
        <f>O64</f>
        <v>0.16206427780230612</v>
      </c>
      <c r="F10" s="15">
        <f>R63</f>
        <v>0.61742618365557989</v>
      </c>
      <c r="G10" s="6">
        <v>0</v>
      </c>
      <c r="H10" s="6">
        <f>$N$7</f>
        <v>0.40462873930444709</v>
      </c>
    </row>
    <row r="11" spans="1:25">
      <c r="A11" s="6" t="str">
        <f t="shared" si="0"/>
        <v>UGROceanAdult1_OceanAdult2</v>
      </c>
      <c r="B11" s="6" t="s">
        <v>44</v>
      </c>
      <c r="C11" s="1" t="s">
        <v>110</v>
      </c>
      <c r="D11" s="15">
        <f>D10</f>
        <v>0.4609453991186368</v>
      </c>
      <c r="E11" s="15">
        <f>E10</f>
        <v>0.16206427780230612</v>
      </c>
      <c r="F11" s="15">
        <f>1-F10</f>
        <v>0.38257381634442011</v>
      </c>
      <c r="G11" s="6">
        <v>0</v>
      </c>
      <c r="H11" s="6">
        <f>$N$7</f>
        <v>0.40462873930444709</v>
      </c>
    </row>
    <row r="12" spans="1:25">
      <c r="A12" s="6" t="str">
        <f t="shared" si="0"/>
        <v>UGROceanAdult2_LGDAdult3</v>
      </c>
      <c r="B12" s="6" t="s">
        <v>44</v>
      </c>
      <c r="C12" s="1" t="s">
        <v>111</v>
      </c>
      <c r="D12" s="15">
        <f>P63</f>
        <v>0.48000756472414247</v>
      </c>
      <c r="E12" s="15">
        <f>P64</f>
        <v>0.25061793071554317</v>
      </c>
      <c r="F12" s="49">
        <v>1</v>
      </c>
      <c r="G12" s="6">
        <v>0</v>
      </c>
      <c r="H12" s="6">
        <f>$N$7</f>
        <v>0.40462873930444709</v>
      </c>
    </row>
    <row r="16" spans="1:25">
      <c r="B16" t="s">
        <v>275</v>
      </c>
      <c r="N16" s="284" t="s">
        <v>284</v>
      </c>
      <c r="O16" s="284"/>
      <c r="P16" s="284"/>
      <c r="Q16" s="284"/>
      <c r="R16" s="284"/>
      <c r="S16" s="284"/>
      <c r="W16" s="282" t="s">
        <v>103</v>
      </c>
      <c r="X16" s="282"/>
      <c r="Y16" s="282"/>
    </row>
    <row r="17" spans="2:25">
      <c r="N17" s="279" t="s">
        <v>64</v>
      </c>
      <c r="O17" s="279"/>
      <c r="P17" s="279"/>
      <c r="Q17" s="280" t="s">
        <v>65</v>
      </c>
      <c r="R17" s="280"/>
      <c r="S17" s="280"/>
      <c r="T17" s="281" t="s">
        <v>66</v>
      </c>
      <c r="U17" s="281"/>
      <c r="V17" s="281"/>
      <c r="W17" s="283" t="s">
        <v>100</v>
      </c>
      <c r="X17" s="283"/>
      <c r="Y17" s="283"/>
    </row>
    <row r="18" spans="2:25" ht="16" customHeight="1">
      <c r="B18" s="89" t="s">
        <v>135</v>
      </c>
      <c r="C18" s="89" t="s">
        <v>92</v>
      </c>
      <c r="D18" s="89" t="s">
        <v>70</v>
      </c>
      <c r="E18" s="89" t="s">
        <v>277</v>
      </c>
      <c r="F18" s="89" t="s">
        <v>278</v>
      </c>
      <c r="G18" s="89" t="s">
        <v>279</v>
      </c>
      <c r="H18" s="235" t="s">
        <v>280</v>
      </c>
      <c r="I18" s="235" t="s">
        <v>281</v>
      </c>
      <c r="J18" s="235" t="s">
        <v>282</v>
      </c>
      <c r="K18" s="234" t="s">
        <v>280</v>
      </c>
      <c r="L18" s="234" t="s">
        <v>281</v>
      </c>
      <c r="M18" s="234" t="s">
        <v>282</v>
      </c>
      <c r="N18" s="35" t="s">
        <v>71</v>
      </c>
      <c r="O18" s="36" t="s">
        <v>72</v>
      </c>
      <c r="P18" s="36" t="s">
        <v>73</v>
      </c>
      <c r="Q18" s="38" t="s">
        <v>74</v>
      </c>
      <c r="R18" s="38" t="s">
        <v>75</v>
      </c>
      <c r="S18" s="39" t="s">
        <v>76</v>
      </c>
      <c r="T18" s="43" t="s">
        <v>280</v>
      </c>
      <c r="U18" s="43" t="s">
        <v>281</v>
      </c>
      <c r="V18" s="43" t="s">
        <v>282</v>
      </c>
      <c r="W18" s="45" t="s">
        <v>280</v>
      </c>
      <c r="X18" s="45" t="s">
        <v>281</v>
      </c>
      <c r="Y18" s="45" t="s">
        <v>282</v>
      </c>
    </row>
    <row r="19" spans="2:25">
      <c r="B19" s="231">
        <v>1993</v>
      </c>
      <c r="C19" s="231">
        <v>1995</v>
      </c>
      <c r="D19" s="233">
        <v>1.2651349999999999</v>
      </c>
      <c r="E19" s="232" t="s">
        <v>276</v>
      </c>
      <c r="F19" s="231">
        <v>12884</v>
      </c>
      <c r="G19" s="231">
        <v>163</v>
      </c>
      <c r="H19" s="235">
        <v>7.0000000000000007E-2</v>
      </c>
      <c r="I19" s="235">
        <v>7.0000000000000007E-2</v>
      </c>
      <c r="J19" s="235">
        <v>0.85</v>
      </c>
      <c r="K19" s="196">
        <f>H19*$G19</f>
        <v>11.410000000000002</v>
      </c>
      <c r="L19" s="196">
        <f>I19*$G19</f>
        <v>11.410000000000002</v>
      </c>
      <c r="M19" s="196">
        <f>J19*$G19</f>
        <v>138.54999999999998</v>
      </c>
      <c r="N19" s="37">
        <v>3.2733337056740433E-2</v>
      </c>
      <c r="O19" s="37">
        <v>0.48207972096768709</v>
      </c>
      <c r="P19" s="37">
        <v>0.74718233538734957</v>
      </c>
      <c r="Q19" s="40">
        <v>2.9955257462806913E-2</v>
      </c>
      <c r="R19" s="40">
        <v>5.8308475240287261E-2</v>
      </c>
      <c r="S19" s="40">
        <v>1</v>
      </c>
      <c r="T19" s="43">
        <f>(F19*N19)*Q19</f>
        <v>12.633219886427899</v>
      </c>
      <c r="U19" s="43">
        <f>F19*N19*(1-Q19)*O19*R19</f>
        <v>11.499615315601275</v>
      </c>
      <c r="V19" s="43">
        <f>F19*N19*(1-Q19)*O19*(1-R19)*P19</f>
        <v>138.76721922000047</v>
      </c>
      <c r="W19" s="45">
        <f>(K19-T19)^2</f>
        <v>1.4962668905526766</v>
      </c>
      <c r="X19" s="45">
        <f t="shared" ref="X19:Y32" si="1">(L19-U19)^2</f>
        <v>8.0309047903158251E-3</v>
      </c>
      <c r="Y19" s="45">
        <f t="shared" si="1"/>
        <v>4.7184189537620061E-2</v>
      </c>
    </row>
    <row r="20" spans="2:25">
      <c r="B20" s="231">
        <v>1994</v>
      </c>
      <c r="C20" s="231">
        <v>1996</v>
      </c>
      <c r="D20" s="233">
        <v>0.4292723</v>
      </c>
      <c r="E20" s="232" t="s">
        <v>276</v>
      </c>
      <c r="F20" s="231">
        <v>4892</v>
      </c>
      <c r="G20" s="231">
        <v>21</v>
      </c>
      <c r="H20" s="235">
        <v>0</v>
      </c>
      <c r="I20" s="235">
        <v>0.39</v>
      </c>
      <c r="J20" s="235">
        <v>0.61</v>
      </c>
      <c r="K20" s="196">
        <f t="shared" ref="K20:K37" si="2">H20*$G20</f>
        <v>0</v>
      </c>
      <c r="L20" s="196">
        <f t="shared" ref="L20:L37" si="3">I20*$G20</f>
        <v>8.19</v>
      </c>
      <c r="M20" s="196">
        <f t="shared" ref="M20:M37" si="4">J20*$G20</f>
        <v>12.81</v>
      </c>
      <c r="N20" s="37">
        <v>2.1134290198196577E-2</v>
      </c>
      <c r="O20" s="37">
        <v>0.29312318443720853</v>
      </c>
      <c r="P20" s="37">
        <v>0.57795888574836118</v>
      </c>
      <c r="Q20" s="40">
        <v>3.63784450780682E-2</v>
      </c>
      <c r="R20" s="40">
        <v>0.29043889574719434</v>
      </c>
      <c r="S20" s="40">
        <v>1</v>
      </c>
      <c r="T20" s="43">
        <f t="shared" ref="T20:T37" si="5">(F20*N20)*Q20</f>
        <v>3.7611291537494291</v>
      </c>
      <c r="U20" s="43">
        <f t="shared" ref="U20:U37" si="6">F20*N20*(1-Q20)*O20*R20</f>
        <v>8.4817519612101862</v>
      </c>
      <c r="V20" s="43">
        <f t="shared" ref="V20:V37" si="7">F20*N20*(1-Q20)*O20*(1-R20)*P20</f>
        <v>11.976158553093782</v>
      </c>
      <c r="W20" s="45">
        <f t="shared" ref="W20:W32" si="8">(K20-T20)^2</f>
        <v>14.146092511183896</v>
      </c>
      <c r="X20" s="45">
        <f t="shared" si="1"/>
        <v>8.5119206869990249E-2</v>
      </c>
      <c r="Y20" s="45">
        <f t="shared" si="1"/>
        <v>0.69529155857865566</v>
      </c>
    </row>
    <row r="21" spans="2:25">
      <c r="B21" s="231">
        <v>1995</v>
      </c>
      <c r="C21" s="231">
        <v>1997</v>
      </c>
      <c r="D21" s="233">
        <v>2.415702</v>
      </c>
      <c r="E21" s="232" t="s">
        <v>276</v>
      </c>
      <c r="F21" s="231">
        <v>3974</v>
      </c>
      <c r="G21" s="231">
        <v>96</v>
      </c>
      <c r="H21" s="235">
        <v>0.11</v>
      </c>
      <c r="I21" s="235">
        <v>0.9</v>
      </c>
      <c r="J21" s="235">
        <v>0</v>
      </c>
      <c r="K21" s="196">
        <f t="shared" si="2"/>
        <v>10.56</v>
      </c>
      <c r="L21" s="196">
        <f t="shared" si="3"/>
        <v>86.4</v>
      </c>
      <c r="M21" s="196">
        <f t="shared" si="4"/>
        <v>0</v>
      </c>
      <c r="N21" s="37">
        <v>4.5356756076961408E-2</v>
      </c>
      <c r="O21" s="37">
        <v>0.50581685889116712</v>
      </c>
      <c r="P21" s="37">
        <v>0.50442778827443058</v>
      </c>
      <c r="Q21" s="40">
        <v>4.1081778645608087E-2</v>
      </c>
      <c r="R21" s="40">
        <v>0.99</v>
      </c>
      <c r="S21" s="40">
        <v>1</v>
      </c>
      <c r="T21" s="43">
        <f t="shared" si="5"/>
        <v>7.4048981114021206</v>
      </c>
      <c r="U21" s="43">
        <f t="shared" si="6"/>
        <v>86.552559463738959</v>
      </c>
      <c r="V21" s="43">
        <f t="shared" si="7"/>
        <v>0.44100521353318195</v>
      </c>
      <c r="W21" s="45">
        <f t="shared" si="8"/>
        <v>9.954667927433908</v>
      </c>
      <c r="X21" s="45">
        <f t="shared" si="1"/>
        <v>2.3274389976316954E-2</v>
      </c>
      <c r="Y21" s="45">
        <f t="shared" si="1"/>
        <v>0.19448559836344742</v>
      </c>
    </row>
    <row r="22" spans="2:25">
      <c r="B22" s="231">
        <v>1996</v>
      </c>
      <c r="C22" s="231">
        <v>1998</v>
      </c>
      <c r="D22" s="233">
        <v>1.383399</v>
      </c>
      <c r="E22" s="232" t="s">
        <v>276</v>
      </c>
      <c r="F22" s="231">
        <v>6072</v>
      </c>
      <c r="G22" s="231">
        <v>85</v>
      </c>
      <c r="H22" s="235">
        <v>0.03</v>
      </c>
      <c r="I22" s="235">
        <v>0.95</v>
      </c>
      <c r="J22" s="235">
        <v>0.02</v>
      </c>
      <c r="K22" s="196">
        <f t="shared" si="2"/>
        <v>2.5499999999999998</v>
      </c>
      <c r="L22" s="196">
        <f t="shared" si="3"/>
        <v>80.75</v>
      </c>
      <c r="M22" s="196">
        <f t="shared" si="4"/>
        <v>1.7</v>
      </c>
      <c r="N22" s="37">
        <v>3.2033363006277307E-2</v>
      </c>
      <c r="O22" s="37">
        <v>0.44533784924907277</v>
      </c>
      <c r="P22" s="37">
        <v>0.46956379892959876</v>
      </c>
      <c r="Q22" s="40">
        <v>3.2950592717044577E-2</v>
      </c>
      <c r="R22" s="40">
        <v>0.96062371794028178</v>
      </c>
      <c r="S22" s="40">
        <v>1</v>
      </c>
      <c r="T22" s="43">
        <f t="shared" si="5"/>
        <v>6.4091071041024676</v>
      </c>
      <c r="U22" s="43">
        <f t="shared" si="6"/>
        <v>80.468494075304974</v>
      </c>
      <c r="V22" s="43">
        <f t="shared" si="7"/>
        <v>1.5488233358035592</v>
      </c>
      <c r="W22" s="45">
        <f t="shared" si="8"/>
        <v>14.892707640934136</v>
      </c>
      <c r="X22" s="45">
        <f t="shared" si="1"/>
        <v>7.9245585638401395E-2</v>
      </c>
      <c r="Y22" s="45">
        <f t="shared" si="1"/>
        <v>2.28543837975634E-2</v>
      </c>
    </row>
    <row r="23" spans="2:25">
      <c r="B23" s="231">
        <v>1997</v>
      </c>
      <c r="C23" s="231">
        <v>1999</v>
      </c>
      <c r="D23" s="233">
        <v>3.2222710000000001</v>
      </c>
      <c r="E23" s="232" t="s">
        <v>276</v>
      </c>
      <c r="F23" s="231">
        <v>13686</v>
      </c>
      <c r="G23" s="231">
        <v>441</v>
      </c>
      <c r="H23" s="235">
        <v>0.06</v>
      </c>
      <c r="I23" s="235">
        <v>0.82</v>
      </c>
      <c r="J23" s="235">
        <v>0.12</v>
      </c>
      <c r="K23" s="196">
        <f t="shared" si="2"/>
        <v>26.459999999999997</v>
      </c>
      <c r="L23" s="196">
        <f t="shared" si="3"/>
        <v>361.62</v>
      </c>
      <c r="M23" s="196">
        <f t="shared" si="4"/>
        <v>52.919999999999995</v>
      </c>
      <c r="N23" s="37">
        <v>5.3508026749956882E-2</v>
      </c>
      <c r="O23" s="37">
        <v>0.64679341654781797</v>
      </c>
      <c r="P23" s="37">
        <v>0.56153861438729813</v>
      </c>
      <c r="Q23" s="40">
        <v>3.6157799856288558E-2</v>
      </c>
      <c r="R23" s="40">
        <v>0.79206779624321966</v>
      </c>
      <c r="S23" s="40">
        <v>1</v>
      </c>
      <c r="T23" s="43">
        <f t="shared" si="5"/>
        <v>26.478749295132271</v>
      </c>
      <c r="U23" s="43">
        <f t="shared" si="6"/>
        <v>361.60077724544681</v>
      </c>
      <c r="V23" s="43">
        <f t="shared" si="7"/>
        <v>53.305053256503584</v>
      </c>
      <c r="W23" s="45">
        <f t="shared" si="8"/>
        <v>3.5153606795710815E-4</v>
      </c>
      <c r="X23" s="45">
        <f t="shared" si="1"/>
        <v>3.6951429261248577E-4</v>
      </c>
      <c r="Y23" s="45">
        <f t="shared" si="1"/>
        <v>0.14826601034401879</v>
      </c>
    </row>
    <row r="24" spans="2:25">
      <c r="B24" s="231">
        <v>1998</v>
      </c>
      <c r="C24" s="231">
        <v>2000</v>
      </c>
      <c r="D24" s="233">
        <v>3.17178</v>
      </c>
      <c r="E24" s="232" t="s">
        <v>276</v>
      </c>
      <c r="F24" s="231">
        <v>13494</v>
      </c>
      <c r="G24" s="231">
        <v>428</v>
      </c>
      <c r="H24" s="235">
        <v>0</v>
      </c>
      <c r="I24" s="235">
        <v>0.21</v>
      </c>
      <c r="J24" s="235">
        <v>0.79</v>
      </c>
      <c r="K24" s="196">
        <f t="shared" si="2"/>
        <v>0</v>
      </c>
      <c r="L24" s="196">
        <f t="shared" si="3"/>
        <v>89.88</v>
      </c>
      <c r="M24" s="196">
        <f t="shared" si="4"/>
        <v>338.12</v>
      </c>
      <c r="N24" s="37">
        <v>4.7166591288419372E-2</v>
      </c>
      <c r="O24" s="37">
        <v>0.74103405031039193</v>
      </c>
      <c r="P24" s="37">
        <v>0.88721380519043347</v>
      </c>
      <c r="Q24" s="40">
        <v>2.1240005436203423E-3</v>
      </c>
      <c r="R24" s="40">
        <v>0.19034305996934872</v>
      </c>
      <c r="S24" s="40">
        <v>1</v>
      </c>
      <c r="T24" s="43">
        <f t="shared" si="5"/>
        <v>1.3518540935606129</v>
      </c>
      <c r="U24" s="43">
        <f t="shared" si="6"/>
        <v>89.583285249370533</v>
      </c>
      <c r="V24" s="43">
        <f t="shared" si="7"/>
        <v>338.07983831956864</v>
      </c>
      <c r="W24" s="45">
        <f t="shared" si="8"/>
        <v>1.8275094902765865</v>
      </c>
      <c r="X24" s="45">
        <f t="shared" si="1"/>
        <v>8.8039643241103985E-2</v>
      </c>
      <c r="Y24" s="45">
        <f t="shared" si="1"/>
        <v>1.6129605750712941E-3</v>
      </c>
    </row>
    <row r="25" spans="2:25">
      <c r="B25" s="231">
        <v>1999</v>
      </c>
      <c r="C25" s="231">
        <v>2001</v>
      </c>
      <c r="D25" s="233">
        <v>0.86930450000000004</v>
      </c>
      <c r="E25" s="232" t="s">
        <v>276</v>
      </c>
      <c r="F25" s="231">
        <v>10008</v>
      </c>
      <c r="G25" s="231">
        <v>87</v>
      </c>
      <c r="H25" s="235">
        <v>0</v>
      </c>
      <c r="I25" s="235">
        <v>0.98</v>
      </c>
      <c r="J25" s="235">
        <v>0.02</v>
      </c>
      <c r="K25" s="196">
        <f t="shared" si="2"/>
        <v>0</v>
      </c>
      <c r="L25" s="196">
        <f t="shared" si="3"/>
        <v>85.26</v>
      </c>
      <c r="M25" s="196">
        <f t="shared" si="4"/>
        <v>1.74</v>
      </c>
      <c r="N25" s="37">
        <v>2.1754232977544165E-2</v>
      </c>
      <c r="O25" s="37">
        <v>0.41292074701928239</v>
      </c>
      <c r="P25" s="37">
        <v>0.43031825480570485</v>
      </c>
      <c r="Q25" s="40">
        <v>2.7389073599686134E-2</v>
      </c>
      <c r="R25" s="40">
        <v>0.97109989462481361</v>
      </c>
      <c r="S25" s="40">
        <v>1</v>
      </c>
      <c r="T25" s="43">
        <f t="shared" si="5"/>
        <v>5.9630495075717773</v>
      </c>
      <c r="U25" s="43">
        <f t="shared" si="6"/>
        <v>84.910388412009226</v>
      </c>
      <c r="V25" s="43">
        <f t="shared" si="7"/>
        <v>1.0873919579366575</v>
      </c>
      <c r="W25" s="45">
        <f>(K25-T25)^2</f>
        <v>35.557959429752017</v>
      </c>
      <c r="X25" s="45">
        <f t="shared" si="1"/>
        <v>0.12222826245743426</v>
      </c>
      <c r="Y25" s="45">
        <f t="shared" si="1"/>
        <v>0.42589725656574934</v>
      </c>
    </row>
    <row r="26" spans="2:25">
      <c r="B26" s="231">
        <v>2000</v>
      </c>
      <c r="C26" s="231">
        <v>2002</v>
      </c>
      <c r="D26" s="233">
        <v>0.48428359999999998</v>
      </c>
      <c r="E26" s="232" t="s">
        <v>276</v>
      </c>
      <c r="F26" s="231">
        <v>10944</v>
      </c>
      <c r="G26" s="231">
        <v>53</v>
      </c>
      <c r="H26" s="235">
        <v>0.12</v>
      </c>
      <c r="I26" s="235">
        <v>0.77</v>
      </c>
      <c r="J26" s="235">
        <v>0.12</v>
      </c>
      <c r="K26" s="196">
        <f t="shared" si="2"/>
        <v>6.3599999999999994</v>
      </c>
      <c r="L26" s="196">
        <f t="shared" si="3"/>
        <v>40.81</v>
      </c>
      <c r="M26" s="196">
        <f t="shared" si="4"/>
        <v>6.3599999999999994</v>
      </c>
      <c r="N26" s="37">
        <v>1.9121570827777348E-2</v>
      </c>
      <c r="O26" s="37">
        <v>0.27885166479295032</v>
      </c>
      <c r="P26" s="37">
        <v>0.43364886726540214</v>
      </c>
      <c r="Q26" s="40">
        <v>3.6035161226442257E-2</v>
      </c>
      <c r="R26" s="40">
        <v>0.72857435571841989</v>
      </c>
      <c r="S26" s="40">
        <v>1</v>
      </c>
      <c r="T26" s="43">
        <f t="shared" si="5"/>
        <v>7.5409510267895277</v>
      </c>
      <c r="U26" s="43">
        <f t="shared" si="6"/>
        <v>40.983398268443032</v>
      </c>
      <c r="V26" s="43">
        <f t="shared" si="7"/>
        <v>6.6209937699183428</v>
      </c>
      <c r="W26" s="45">
        <f t="shared" si="8"/>
        <v>1.3946453276752411</v>
      </c>
      <c r="X26" s="45">
        <f t="shared" si="1"/>
        <v>3.006695949904116E-2</v>
      </c>
      <c r="Y26" s="45">
        <f t="shared" si="1"/>
        <v>6.8117747936189132E-2</v>
      </c>
    </row>
    <row r="27" spans="2:25">
      <c r="B27" s="231">
        <v>2001</v>
      </c>
      <c r="C27" s="231">
        <v>2003</v>
      </c>
      <c r="D27" s="233">
        <v>0.30936849999999999</v>
      </c>
      <c r="E27" s="232" t="s">
        <v>276</v>
      </c>
      <c r="F27" s="231">
        <v>14869</v>
      </c>
      <c r="G27" s="231">
        <v>46</v>
      </c>
      <c r="H27" s="235">
        <v>0.06</v>
      </c>
      <c r="I27" s="235">
        <v>0.86</v>
      </c>
      <c r="J27" s="235">
        <v>0.08</v>
      </c>
      <c r="K27" s="196">
        <f t="shared" si="2"/>
        <v>2.76</v>
      </c>
      <c r="L27" s="196">
        <f t="shared" si="3"/>
        <v>39.56</v>
      </c>
      <c r="M27" s="196">
        <f t="shared" si="4"/>
        <v>3.68</v>
      </c>
      <c r="N27" s="37">
        <v>1.2069021155653397E-2</v>
      </c>
      <c r="O27" s="37">
        <v>0.28411369052816932</v>
      </c>
      <c r="P27" s="37">
        <v>0.41011815596826756</v>
      </c>
      <c r="Q27" s="40">
        <v>3.2343082464908884E-2</v>
      </c>
      <c r="R27" s="40">
        <v>0.78985036623131788</v>
      </c>
      <c r="S27" s="40">
        <v>1</v>
      </c>
      <c r="T27" s="43">
        <f t="shared" si="5"/>
        <v>5.8041044332278648</v>
      </c>
      <c r="U27" s="43">
        <f t="shared" si="6"/>
        <v>38.968366484593396</v>
      </c>
      <c r="V27" s="43">
        <f t="shared" si="7"/>
        <v>4.2521150873542277</v>
      </c>
      <c r="W27" s="45">
        <f t="shared" si="8"/>
        <v>9.266571800397541</v>
      </c>
      <c r="X27" s="45">
        <f t="shared" si="1"/>
        <v>0.35003021655237887</v>
      </c>
      <c r="Y27" s="45">
        <f t="shared" si="1"/>
        <v>0.32731567317833543</v>
      </c>
    </row>
    <row r="28" spans="2:25">
      <c r="B28" s="231">
        <v>2002</v>
      </c>
      <c r="C28" s="231">
        <v>2004</v>
      </c>
      <c r="D28" s="233">
        <v>0.53276109999999999</v>
      </c>
      <c r="E28" s="232" t="s">
        <v>276</v>
      </c>
      <c r="F28" s="231">
        <v>27029</v>
      </c>
      <c r="G28" s="231">
        <v>144</v>
      </c>
      <c r="H28" s="235">
        <v>0.04</v>
      </c>
      <c r="I28" s="235">
        <v>0.73</v>
      </c>
      <c r="J28" s="235">
        <v>0.23</v>
      </c>
      <c r="K28" s="196">
        <f t="shared" si="2"/>
        <v>5.76</v>
      </c>
      <c r="L28" s="196">
        <f t="shared" si="3"/>
        <v>105.12</v>
      </c>
      <c r="M28" s="196">
        <f t="shared" si="4"/>
        <v>33.120000000000005</v>
      </c>
      <c r="N28" s="37">
        <v>1.4402583996429076E-2</v>
      </c>
      <c r="O28" s="37">
        <v>0.43414276690608361</v>
      </c>
      <c r="P28" s="37">
        <v>0.52216241849461009</v>
      </c>
      <c r="Q28" s="40">
        <v>2.057899130211837E-2</v>
      </c>
      <c r="R28" s="40">
        <v>0.63256502363274947</v>
      </c>
      <c r="S28" s="40">
        <v>1</v>
      </c>
      <c r="T28" s="43">
        <f t="shared" si="5"/>
        <v>8.0111429002175925</v>
      </c>
      <c r="U28" s="43">
        <f t="shared" si="6"/>
        <v>104.70744324517399</v>
      </c>
      <c r="V28" s="43">
        <f t="shared" si="7"/>
        <v>31.758390623302194</v>
      </c>
      <c r="W28" s="45">
        <f t="shared" si="8"/>
        <v>5.0676443572000744</v>
      </c>
      <c r="X28" s="45">
        <f t="shared" si="1"/>
        <v>0.1702030759525715</v>
      </c>
      <c r="Y28" s="45">
        <f t="shared" si="1"/>
        <v>1.8539800947113996</v>
      </c>
    </row>
    <row r="29" spans="2:25">
      <c r="B29" s="231">
        <v>2003</v>
      </c>
      <c r="C29" s="231">
        <v>2005</v>
      </c>
      <c r="D29" s="233">
        <v>0.3472577</v>
      </c>
      <c r="E29" s="232" t="s">
        <v>276</v>
      </c>
      <c r="F29" s="231">
        <v>19582</v>
      </c>
      <c r="G29" s="231">
        <v>68</v>
      </c>
      <c r="H29" s="235">
        <v>0.01</v>
      </c>
      <c r="I29" s="235">
        <v>0.26</v>
      </c>
      <c r="J29" s="235">
        <v>0.74</v>
      </c>
      <c r="K29" s="196">
        <f t="shared" si="2"/>
        <v>0.68</v>
      </c>
      <c r="L29" s="196">
        <f t="shared" si="3"/>
        <v>17.68</v>
      </c>
      <c r="M29" s="196">
        <f t="shared" si="4"/>
        <v>50.32</v>
      </c>
      <c r="N29" s="37">
        <v>1.2390103213205718E-2</v>
      </c>
      <c r="O29" s="37">
        <v>0.38466709484292672</v>
      </c>
      <c r="P29" s="37">
        <v>0.69922098030209023</v>
      </c>
      <c r="Q29" s="40">
        <v>2.5086199149697203E-2</v>
      </c>
      <c r="R29" s="40">
        <v>0.21076703126515595</v>
      </c>
      <c r="S29" s="40">
        <v>1</v>
      </c>
      <c r="T29" s="43">
        <f t="shared" si="5"/>
        <v>6.0864889244184726</v>
      </c>
      <c r="U29" s="43">
        <f t="shared" si="6"/>
        <v>19.177231221193292</v>
      </c>
      <c r="V29" s="43">
        <f t="shared" si="7"/>
        <v>50.211465367118031</v>
      </c>
      <c r="W29" s="45">
        <f>(K29-T29)^2</f>
        <v>29.230122489859614</v>
      </c>
      <c r="X29" s="45">
        <f t="shared" si="1"/>
        <v>2.2417013297159576</v>
      </c>
      <c r="Y29" s="45">
        <f t="shared" si="1"/>
        <v>1.1779766534823924E-2</v>
      </c>
    </row>
    <row r="30" spans="2:25">
      <c r="B30" s="231">
        <v>2004</v>
      </c>
      <c r="C30" s="231">
        <v>2006</v>
      </c>
      <c r="D30" s="233">
        <v>1.2189810000000001</v>
      </c>
      <c r="E30" s="232" t="s">
        <v>276</v>
      </c>
      <c r="F30" s="231">
        <v>9188</v>
      </c>
      <c r="G30" s="231">
        <v>112</v>
      </c>
      <c r="H30" s="235">
        <v>0.05</v>
      </c>
      <c r="I30" s="235">
        <v>0.78</v>
      </c>
      <c r="J30" s="235">
        <v>0.16</v>
      </c>
      <c r="K30" s="196">
        <f t="shared" si="2"/>
        <v>5.6000000000000005</v>
      </c>
      <c r="L30" s="196">
        <f t="shared" si="3"/>
        <v>87.36</v>
      </c>
      <c r="M30" s="196">
        <f t="shared" si="4"/>
        <v>17.920000000000002</v>
      </c>
      <c r="N30" s="37">
        <v>3.030935136289023E-2</v>
      </c>
      <c r="O30" s="37">
        <v>0.44867193259929106</v>
      </c>
      <c r="P30" s="37">
        <v>0.51522801273318608</v>
      </c>
      <c r="Q30" s="40">
        <v>3.115234913109417E-2</v>
      </c>
      <c r="R30" s="40">
        <v>0.71677832086586823</v>
      </c>
      <c r="S30" s="40">
        <v>1</v>
      </c>
      <c r="T30" s="43">
        <f t="shared" si="5"/>
        <v>8.6753784695154792</v>
      </c>
      <c r="U30" s="43">
        <f t="shared" si="6"/>
        <v>86.769457731644621</v>
      </c>
      <c r="V30" s="43">
        <f t="shared" si="7"/>
        <v>17.664769808593324</v>
      </c>
      <c r="W30" s="45">
        <f>(K30-T30)^2</f>
        <v>9.4579527307593683</v>
      </c>
      <c r="X30" s="45">
        <f t="shared" si="1"/>
        <v>0.34874017071431535</v>
      </c>
      <c r="Y30" s="45">
        <f t="shared" si="1"/>
        <v>6.5142450605489552E-2</v>
      </c>
    </row>
    <row r="31" spans="2:25">
      <c r="B31" s="231">
        <v>2005</v>
      </c>
      <c r="C31" s="231">
        <v>2007</v>
      </c>
      <c r="D31" s="233">
        <v>1.0932660000000001</v>
      </c>
      <c r="E31" s="232" t="s">
        <v>276</v>
      </c>
      <c r="F31" s="231">
        <v>10336</v>
      </c>
      <c r="G31" s="231">
        <v>113</v>
      </c>
      <c r="H31" s="235">
        <v>0.08</v>
      </c>
      <c r="I31" s="235">
        <v>0.75</v>
      </c>
      <c r="J31" s="235">
        <v>0.18</v>
      </c>
      <c r="K31" s="196">
        <f t="shared" si="2"/>
        <v>9.0400000000000009</v>
      </c>
      <c r="L31" s="196">
        <f t="shared" si="3"/>
        <v>84.75</v>
      </c>
      <c r="M31" s="196">
        <f t="shared" si="4"/>
        <v>20.34</v>
      </c>
      <c r="N31" s="37">
        <v>2.9940427116504562E-2</v>
      </c>
      <c r="O31" s="37">
        <v>0.41441288212852911</v>
      </c>
      <c r="P31" s="37">
        <v>0.51226071009108975</v>
      </c>
      <c r="Q31" s="40">
        <v>3.3996373389582488E-2</v>
      </c>
      <c r="R31" s="40">
        <v>0.67962871128536062</v>
      </c>
      <c r="S31" s="40">
        <v>1</v>
      </c>
      <c r="T31" s="43">
        <f t="shared" si="5"/>
        <v>10.520662352700644</v>
      </c>
      <c r="U31" s="43">
        <f t="shared" si="6"/>
        <v>84.196533966466788</v>
      </c>
      <c r="V31" s="43">
        <f t="shared" si="7"/>
        <v>20.331392825787173</v>
      </c>
      <c r="W31" s="45">
        <f t="shared" si="8"/>
        <v>2.192361002705002</v>
      </c>
      <c r="X31" s="45">
        <f t="shared" si="1"/>
        <v>0.30632465027498657</v>
      </c>
      <c r="Y31" s="45">
        <f t="shared" si="1"/>
        <v>7.4083447929951718E-5</v>
      </c>
    </row>
    <row r="32" spans="2:25">
      <c r="B32" s="231">
        <v>2006</v>
      </c>
      <c r="C32" s="231">
        <v>2008</v>
      </c>
      <c r="D32" s="233">
        <v>4.4182100000000002</v>
      </c>
      <c r="E32" s="232" t="s">
        <v>276</v>
      </c>
      <c r="F32" s="231">
        <v>14146</v>
      </c>
      <c r="G32" s="231">
        <v>625</v>
      </c>
      <c r="H32" s="235">
        <v>0.09</v>
      </c>
      <c r="I32" s="235">
        <v>0.9</v>
      </c>
      <c r="J32" s="235">
        <v>0.01</v>
      </c>
      <c r="K32" s="196">
        <f t="shared" si="2"/>
        <v>56.25</v>
      </c>
      <c r="L32" s="196">
        <f t="shared" si="3"/>
        <v>562.5</v>
      </c>
      <c r="M32" s="196">
        <f t="shared" si="4"/>
        <v>6.25</v>
      </c>
      <c r="N32" s="37">
        <v>6.829237633735448E-2</v>
      </c>
      <c r="O32" s="37">
        <v>0.63236079334472728</v>
      </c>
      <c r="P32" s="37">
        <v>0.53240426346998204</v>
      </c>
      <c r="Q32" s="40">
        <v>5.7981066650753164E-2</v>
      </c>
      <c r="R32" s="40">
        <v>0.97773083035386921</v>
      </c>
      <c r="S32" s="40">
        <v>1</v>
      </c>
      <c r="T32" s="43">
        <f t="shared" si="5"/>
        <v>56.013418602489111</v>
      </c>
      <c r="U32" s="43">
        <f t="shared" si="6"/>
        <v>562.66481162820367</v>
      </c>
      <c r="V32" s="43">
        <f t="shared" si="7"/>
        <v>6.8230097879734144</v>
      </c>
      <c r="W32" s="45">
        <f t="shared" si="8"/>
        <v>5.5970757648205395E-2</v>
      </c>
      <c r="X32" s="45">
        <f t="shared" si="1"/>
        <v>2.7162872791143221E-2</v>
      </c>
      <c r="Y32" s="45">
        <f t="shared" si="1"/>
        <v>0.32834021711333733</v>
      </c>
    </row>
    <row r="33" spans="2:25">
      <c r="B33" s="231">
        <v>2007</v>
      </c>
      <c r="C33" s="231">
        <v>2009</v>
      </c>
      <c r="D33" s="233">
        <v>3.867518</v>
      </c>
      <c r="E33" s="232" t="s">
        <v>276</v>
      </c>
      <c r="F33" s="231">
        <v>14402</v>
      </c>
      <c r="G33" s="231">
        <v>557</v>
      </c>
      <c r="H33" s="235">
        <v>0.1</v>
      </c>
      <c r="I33" s="235">
        <v>0.55000000000000004</v>
      </c>
      <c r="J33" s="235">
        <v>0.35</v>
      </c>
      <c r="K33" s="196">
        <f t="shared" si="2"/>
        <v>55.7</v>
      </c>
      <c r="L33" s="196">
        <f t="shared" si="3"/>
        <v>306.35000000000002</v>
      </c>
      <c r="M33" s="196">
        <f t="shared" si="4"/>
        <v>194.95</v>
      </c>
      <c r="N33" s="37">
        <v>6.8203500539701034E-2</v>
      </c>
      <c r="O33" s="37">
        <v>0.63661859582751901</v>
      </c>
      <c r="P33" s="37">
        <v>0.68735757219914262</v>
      </c>
      <c r="Q33" s="40">
        <v>5.6654557687440751E-2</v>
      </c>
      <c r="R33" s="40">
        <v>0.51937653686802943</v>
      </c>
      <c r="S33" s="40">
        <v>1</v>
      </c>
      <c r="T33" s="43">
        <f t="shared" si="5"/>
        <v>55.649891922002823</v>
      </c>
      <c r="U33" s="43">
        <f t="shared" si="6"/>
        <v>306.38103155671291</v>
      </c>
      <c r="V33" s="43">
        <f t="shared" si="7"/>
        <v>194.8799850517853</v>
      </c>
      <c r="W33" s="45">
        <f t="shared" ref="W33:Y37" si="9">(K33-T33)^2</f>
        <v>2.5108194805714833E-3</v>
      </c>
      <c r="X33" s="45">
        <f t="shared" si="9"/>
        <v>9.6295751202528335E-4</v>
      </c>
      <c r="Y33" s="45">
        <f t="shared" si="9"/>
        <v>4.9020929735058951E-3</v>
      </c>
    </row>
    <row r="34" spans="2:25">
      <c r="B34" s="231">
        <v>2008</v>
      </c>
      <c r="C34" s="231">
        <v>2010</v>
      </c>
      <c r="D34" s="233">
        <v>1.9735750000000001</v>
      </c>
      <c r="E34" s="232" t="s">
        <v>276</v>
      </c>
      <c r="F34" s="231">
        <v>24068</v>
      </c>
      <c r="G34" s="231">
        <v>475</v>
      </c>
      <c r="H34" s="235">
        <v>7.0000000000000007E-2</v>
      </c>
      <c r="I34" s="235">
        <v>0.84</v>
      </c>
      <c r="J34" s="235">
        <v>0.09</v>
      </c>
      <c r="K34" s="196">
        <f t="shared" si="2"/>
        <v>33.25</v>
      </c>
      <c r="L34" s="196">
        <f t="shared" si="3"/>
        <v>399</v>
      </c>
      <c r="M34" s="196">
        <f t="shared" si="4"/>
        <v>42.75</v>
      </c>
      <c r="N34" s="37">
        <v>4.1115083750596186E-2</v>
      </c>
      <c r="O34" s="37">
        <v>0.50213246541987866</v>
      </c>
      <c r="P34" s="37">
        <v>0.5343726320772223</v>
      </c>
      <c r="Q34" s="40">
        <v>3.3576879028797954E-2</v>
      </c>
      <c r="R34" s="40">
        <v>0.83112356052767722</v>
      </c>
      <c r="S34" s="40">
        <v>1</v>
      </c>
      <c r="T34" s="43">
        <f t="shared" si="5"/>
        <v>33.22626374161193</v>
      </c>
      <c r="U34" s="43">
        <f t="shared" si="6"/>
        <v>399.10979742179921</v>
      </c>
      <c r="V34" s="43">
        <f t="shared" si="7"/>
        <v>43.335126314196444</v>
      </c>
      <c r="W34" s="45">
        <f t="shared" si="9"/>
        <v>5.6340996226520378E-4</v>
      </c>
      <c r="X34" s="45">
        <f t="shared" si="9"/>
        <v>1.2055473833754642E-2</v>
      </c>
      <c r="Y34" s="45">
        <f t="shared" si="9"/>
        <v>0.34237280356511546</v>
      </c>
    </row>
    <row r="35" spans="2:25">
      <c r="B35" s="231">
        <v>2009</v>
      </c>
      <c r="C35" s="231">
        <v>2011</v>
      </c>
      <c r="D35" s="233">
        <v>3.4792809999999998</v>
      </c>
      <c r="E35" s="232" t="s">
        <v>276</v>
      </c>
      <c r="F35" s="231">
        <v>7674</v>
      </c>
      <c r="G35" s="231">
        <v>267</v>
      </c>
      <c r="H35" s="235">
        <v>0.28000000000000003</v>
      </c>
      <c r="I35" s="235">
        <v>0.56000000000000005</v>
      </c>
      <c r="J35" s="235">
        <v>0.16</v>
      </c>
      <c r="K35" s="196">
        <f t="shared" si="2"/>
        <v>74.760000000000005</v>
      </c>
      <c r="L35" s="196">
        <f t="shared" si="3"/>
        <v>149.52000000000001</v>
      </c>
      <c r="M35" s="196">
        <f t="shared" si="4"/>
        <v>42.72</v>
      </c>
      <c r="N35" s="37">
        <v>9.5509197830118617E-2</v>
      </c>
      <c r="O35" s="37">
        <v>0.3342553702406646</v>
      </c>
      <c r="P35" s="37">
        <v>0.6049656612798533</v>
      </c>
      <c r="Q35" s="40">
        <v>0.1043007058310671</v>
      </c>
      <c r="R35" s="40">
        <v>0.67929101661247315</v>
      </c>
      <c r="S35" s="40">
        <v>1</v>
      </c>
      <c r="T35" s="43">
        <f t="shared" si="5"/>
        <v>76.445907356787984</v>
      </c>
      <c r="U35" s="43">
        <f t="shared" si="6"/>
        <v>149.06081418500875</v>
      </c>
      <c r="V35" s="43">
        <f t="shared" si="7"/>
        <v>42.574491262727143</v>
      </c>
      <c r="W35" s="45">
        <f t="shared" si="9"/>
        <v>2.8422836156718301</v>
      </c>
      <c r="X35" s="45">
        <f t="shared" si="9"/>
        <v>0.21085161268918601</v>
      </c>
      <c r="Y35" s="45">
        <f t="shared" si="9"/>
        <v>2.1172792622740924E-2</v>
      </c>
    </row>
    <row r="36" spans="2:25">
      <c r="B36" s="231">
        <v>2010</v>
      </c>
      <c r="C36" s="231">
        <v>2012</v>
      </c>
      <c r="D36" s="233">
        <v>1.5755209999999999</v>
      </c>
      <c r="E36" s="232" t="s">
        <v>276</v>
      </c>
      <c r="F36" s="231">
        <v>46080</v>
      </c>
      <c r="G36" s="231">
        <v>726</v>
      </c>
      <c r="H36" s="235">
        <v>0.05</v>
      </c>
      <c r="I36" s="235">
        <v>0.93</v>
      </c>
      <c r="J36" s="235">
        <v>0.02</v>
      </c>
      <c r="K36" s="196">
        <f t="shared" si="2"/>
        <v>36.300000000000004</v>
      </c>
      <c r="L36" s="196">
        <f t="shared" si="3"/>
        <v>675.18000000000006</v>
      </c>
      <c r="M36" s="196">
        <f t="shared" si="4"/>
        <v>14.52</v>
      </c>
      <c r="N36" s="37">
        <v>3.0973410596441358E-2</v>
      </c>
      <c r="O36" s="37">
        <v>0.50689037241755563</v>
      </c>
      <c r="P36" s="37">
        <v>0.49339679957777549</v>
      </c>
      <c r="Q36" s="40">
        <v>2.5188859613555874E-2</v>
      </c>
      <c r="R36" s="40">
        <v>0.95701334042088171</v>
      </c>
      <c r="S36" s="40">
        <v>1</v>
      </c>
      <c r="T36" s="43">
        <f t="shared" si="5"/>
        <v>35.950919789573462</v>
      </c>
      <c r="U36" s="43">
        <f t="shared" si="6"/>
        <v>674.92267359317714</v>
      </c>
      <c r="V36" s="43">
        <f t="shared" si="7"/>
        <v>14.95774250847632</v>
      </c>
      <c r="W36" s="45">
        <f t="shared" si="9"/>
        <v>0.12185699331143933</v>
      </c>
      <c r="X36" s="45">
        <f t="shared" si="9"/>
        <v>6.6216879648398216E-2</v>
      </c>
      <c r="Y36" s="45">
        <f t="shared" si="9"/>
        <v>0.19161850372714168</v>
      </c>
    </row>
    <row r="37" spans="2:25">
      <c r="B37" s="231">
        <v>2011</v>
      </c>
      <c r="C37" s="231">
        <v>2013</v>
      </c>
      <c r="D37" s="233">
        <v>1.676091</v>
      </c>
      <c r="E37" s="232" t="s">
        <v>276</v>
      </c>
      <c r="F37" s="231">
        <v>17899</v>
      </c>
      <c r="G37" s="231">
        <v>300</v>
      </c>
      <c r="H37" s="235">
        <v>0.17</v>
      </c>
      <c r="I37" s="235">
        <v>0.67</v>
      </c>
      <c r="J37" s="235">
        <v>0.16</v>
      </c>
      <c r="K37" s="196">
        <f t="shared" si="2"/>
        <v>51.000000000000007</v>
      </c>
      <c r="L37" s="196">
        <f t="shared" si="3"/>
        <v>201</v>
      </c>
      <c r="M37" s="196">
        <f t="shared" si="4"/>
        <v>48</v>
      </c>
      <c r="N37" s="37">
        <v>4.9248838061473066E-2</v>
      </c>
      <c r="O37" s="37">
        <v>0.36291739984508981</v>
      </c>
      <c r="P37" s="37">
        <v>0.47162854812217037</v>
      </c>
      <c r="Q37" s="40">
        <v>5.7392073732663272E-2</v>
      </c>
      <c r="R37" s="40">
        <v>0.66630374445631746</v>
      </c>
      <c r="S37" s="40">
        <v>1</v>
      </c>
      <c r="T37" s="43">
        <f t="shared" si="5"/>
        <v>50.591397227424522</v>
      </c>
      <c r="U37" s="43">
        <f t="shared" si="6"/>
        <v>200.92588436468952</v>
      </c>
      <c r="V37" s="43">
        <f t="shared" si="7"/>
        <v>47.458614299654904</v>
      </c>
      <c r="W37" s="45">
        <f t="shared" si="9"/>
        <v>0.1669562257563732</v>
      </c>
      <c r="X37" s="45">
        <f t="shared" si="9"/>
        <v>5.4931273974756318E-3</v>
      </c>
      <c r="Y37" s="45">
        <f t="shared" si="9"/>
        <v>0.29309847653814974</v>
      </c>
    </row>
    <row r="38" spans="2:25">
      <c r="C38" s="236" t="s">
        <v>195</v>
      </c>
      <c r="D38" s="242">
        <f>AVERAGE(D22:D37)</f>
        <v>1.8514292749999999</v>
      </c>
      <c r="E38" s="237"/>
      <c r="F38" s="237">
        <f>AVERAGE(F19:F37)</f>
        <v>14801.421052631578</v>
      </c>
      <c r="G38" s="237">
        <f t="shared" ref="G38:M38" si="10">AVERAGE(G19:G37)</f>
        <v>253</v>
      </c>
      <c r="H38" s="238">
        <f t="shared" si="10"/>
        <v>7.3157894736842102E-2</v>
      </c>
      <c r="I38" s="238">
        <f t="shared" si="10"/>
        <v>0.68</v>
      </c>
      <c r="J38" s="238">
        <f t="shared" si="10"/>
        <v>0.24789473684210525</v>
      </c>
      <c r="K38" s="237">
        <f t="shared" si="10"/>
        <v>20.444210526315789</v>
      </c>
      <c r="L38" s="237">
        <f t="shared" si="10"/>
        <v>178.54421052631579</v>
      </c>
      <c r="M38" s="241">
        <f t="shared" si="10"/>
        <v>54.040526315789471</v>
      </c>
      <c r="N38" s="238">
        <f t="shared" ref="N38:V38" si="11">AVERAGE(N19:N37)</f>
        <v>3.8171687481170578E-2</v>
      </c>
      <c r="O38" s="238">
        <f t="shared" si="11"/>
        <v>0.46037583454294806</v>
      </c>
      <c r="P38" s="238">
        <f t="shared" si="11"/>
        <v>0.5576299002265247</v>
      </c>
      <c r="Q38" s="238">
        <f t="shared" si="11"/>
        <v>3.7911749847960224E-2</v>
      </c>
      <c r="R38" s="238">
        <f t="shared" si="11"/>
        <v>0.66536235147385603</v>
      </c>
      <c r="S38" s="238">
        <f t="shared" si="11"/>
        <v>1</v>
      </c>
      <c r="T38" s="241">
        <f t="shared" si="11"/>
        <v>22.027291257826629</v>
      </c>
      <c r="U38" s="241">
        <f t="shared" si="11"/>
        <v>178.47180607314675</v>
      </c>
      <c r="V38" s="241">
        <f t="shared" si="11"/>
        <v>54.003872977017203</v>
      </c>
    </row>
    <row r="39" spans="2:25">
      <c r="C39" s="236" t="s">
        <v>166</v>
      </c>
      <c r="D39" s="242">
        <f>STDEV(D22:D37)</f>
        <v>1.3528754613854288</v>
      </c>
      <c r="E39" s="237"/>
      <c r="F39" s="237">
        <f>STDEV(F19:F37)</f>
        <v>9675.6996894039748</v>
      </c>
      <c r="G39" s="237">
        <f t="shared" ref="G39:M39" si="12">STDEV(G19:G37)</f>
        <v>221.48187786413186</v>
      </c>
      <c r="H39" s="238">
        <f t="shared" si="12"/>
        <v>6.7169158893295305E-2</v>
      </c>
      <c r="I39" s="238">
        <f t="shared" si="12"/>
        <v>0.26979416022013686</v>
      </c>
      <c r="J39" s="238">
        <f t="shared" si="12"/>
        <v>0.28165343060357029</v>
      </c>
      <c r="K39" s="237">
        <f t="shared" si="12"/>
        <v>23.666241854353895</v>
      </c>
      <c r="L39" s="237">
        <f t="shared" si="12"/>
        <v>193.23377319585924</v>
      </c>
      <c r="M39" s="241">
        <f t="shared" si="12"/>
        <v>84.86407854613978</v>
      </c>
      <c r="N39" s="238">
        <f t="shared" ref="N39:T39" si="13">STDEV(N19:N37)</f>
        <v>2.1957308969373115E-2</v>
      </c>
      <c r="O39" s="238">
        <f t="shared" si="13"/>
        <v>0.13105322754510987</v>
      </c>
      <c r="P39" s="238">
        <f t="shared" si="13"/>
        <v>0.12152758051965243</v>
      </c>
      <c r="Q39" s="238">
        <f t="shared" si="13"/>
        <v>2.0786033577505074E-2</v>
      </c>
      <c r="R39" s="238">
        <f t="shared" si="13"/>
        <v>0.28853216135745513</v>
      </c>
      <c r="S39" s="238">
        <f t="shared" si="13"/>
        <v>0</v>
      </c>
      <c r="T39" s="241">
        <f t="shared" si="13"/>
        <v>22.609474844400683</v>
      </c>
      <c r="U39" s="241">
        <f>STDEV(U19:U37)</f>
        <v>193.21511229428143</v>
      </c>
      <c r="V39" s="241">
        <f>STDEV(V19:V37)</f>
        <v>84.865728705209563</v>
      </c>
      <c r="X39" s="239" t="s">
        <v>283</v>
      </c>
      <c r="Y39" s="240">
        <f>SUM(W19:Y37)</f>
        <v>146.8946184511924</v>
      </c>
    </row>
    <row r="40" spans="2:25">
      <c r="C40" s="236" t="s">
        <v>185</v>
      </c>
      <c r="D40" s="238">
        <f>D39/D38</f>
        <v>0.73071949312534712</v>
      </c>
      <c r="E40" s="238"/>
      <c r="F40" s="238">
        <f>F39/F38</f>
        <v>0.653700726099114</v>
      </c>
      <c r="G40" s="238">
        <f t="shared" ref="G40:M40" si="14">G39/G38</f>
        <v>0.87542244215071885</v>
      </c>
      <c r="H40" s="238">
        <f t="shared" si="14"/>
        <v>0.91813958199468404</v>
      </c>
      <c r="I40" s="238">
        <f t="shared" si="14"/>
        <v>0.39675611797078947</v>
      </c>
      <c r="J40" s="238">
        <f t="shared" si="14"/>
        <v>1.1361815671906232</v>
      </c>
      <c r="K40" s="238">
        <f t="shared" si="14"/>
        <v>1.1576011616535991</v>
      </c>
      <c r="L40" s="238">
        <f t="shared" si="14"/>
        <v>1.0822740912530364</v>
      </c>
      <c r="M40" s="238">
        <f t="shared" si="14"/>
        <v>1.5703784609763198</v>
      </c>
      <c r="N40" s="238">
        <f t="shared" ref="N40:V40" si="15">N39/N38</f>
        <v>0.57522500099594154</v>
      </c>
      <c r="O40" s="238">
        <f t="shared" si="15"/>
        <v>0.28466573984105159</v>
      </c>
      <c r="P40" s="238">
        <f t="shared" si="15"/>
        <v>0.21793591138187635</v>
      </c>
      <c r="Q40" s="238">
        <f t="shared" si="15"/>
        <v>0.54827418045499243</v>
      </c>
      <c r="R40" s="238">
        <f t="shared" si="15"/>
        <v>0.43364665992646323</v>
      </c>
      <c r="S40" s="238">
        <f t="shared" si="15"/>
        <v>0</v>
      </c>
      <c r="T40" s="238">
        <f t="shared" si="15"/>
        <v>1.0264301034457515</v>
      </c>
      <c r="U40" s="238">
        <f t="shared" si="15"/>
        <v>1.0826086010195477</v>
      </c>
      <c r="V40" s="238">
        <f t="shared" si="15"/>
        <v>1.5714748596147252</v>
      </c>
    </row>
    <row r="41" spans="2:25">
      <c r="G41" s="194"/>
      <c r="H41" s="194"/>
    </row>
    <row r="42" spans="2:25">
      <c r="G42" s="194"/>
      <c r="H42" s="194"/>
    </row>
    <row r="43" spans="2:25">
      <c r="G43" s="194"/>
      <c r="H43" s="194"/>
    </row>
    <row r="44" spans="2:25">
      <c r="B44" t="s">
        <v>44</v>
      </c>
      <c r="N44" s="284" t="s">
        <v>284</v>
      </c>
      <c r="O44" s="284"/>
      <c r="P44" s="284"/>
      <c r="Q44" s="284"/>
      <c r="R44" s="284"/>
      <c r="S44" s="284"/>
      <c r="W44" s="282" t="s">
        <v>103</v>
      </c>
      <c r="X44" s="282"/>
      <c r="Y44" s="282"/>
    </row>
    <row r="45" spans="2:25">
      <c r="N45" s="279" t="s">
        <v>64</v>
      </c>
      <c r="O45" s="279"/>
      <c r="P45" s="279"/>
      <c r="Q45" s="280" t="s">
        <v>65</v>
      </c>
      <c r="R45" s="280"/>
      <c r="S45" s="280"/>
      <c r="T45" s="281" t="s">
        <v>66</v>
      </c>
      <c r="U45" s="281"/>
      <c r="V45" s="281"/>
      <c r="W45" s="283" t="s">
        <v>100</v>
      </c>
      <c r="X45" s="283"/>
      <c r="Y45" s="283"/>
    </row>
    <row r="46" spans="2:25" ht="17">
      <c r="B46" s="182" t="s">
        <v>135</v>
      </c>
      <c r="C46" s="182" t="s">
        <v>92</v>
      </c>
      <c r="D46" s="182" t="s">
        <v>70</v>
      </c>
      <c r="E46" s="182" t="s">
        <v>277</v>
      </c>
      <c r="F46" s="182" t="s">
        <v>278</v>
      </c>
      <c r="G46" s="182" t="s">
        <v>279</v>
      </c>
      <c r="H46" s="243" t="s">
        <v>280</v>
      </c>
      <c r="I46" s="243" t="s">
        <v>281</v>
      </c>
      <c r="J46" s="243" t="s">
        <v>282</v>
      </c>
      <c r="K46" s="229" t="s">
        <v>280</v>
      </c>
      <c r="L46" s="229" t="s">
        <v>281</v>
      </c>
      <c r="M46" s="229" t="s">
        <v>282</v>
      </c>
      <c r="N46" s="244" t="s">
        <v>71</v>
      </c>
      <c r="O46" s="245" t="s">
        <v>72</v>
      </c>
      <c r="P46" s="245" t="s">
        <v>73</v>
      </c>
      <c r="Q46" s="246" t="s">
        <v>74</v>
      </c>
      <c r="R46" s="246" t="s">
        <v>75</v>
      </c>
      <c r="S46" s="230" t="s">
        <v>76</v>
      </c>
      <c r="T46" s="247" t="s">
        <v>280</v>
      </c>
      <c r="U46" s="247" t="s">
        <v>281</v>
      </c>
      <c r="V46" s="247" t="s">
        <v>282</v>
      </c>
      <c r="W46" s="248" t="s">
        <v>280</v>
      </c>
      <c r="X46" s="248" t="s">
        <v>281</v>
      </c>
      <c r="Y46" s="248" t="s">
        <v>282</v>
      </c>
    </row>
    <row r="47" spans="2:25">
      <c r="B47" s="231">
        <v>1992</v>
      </c>
      <c r="C47" s="231">
        <v>1994</v>
      </c>
      <c r="D47" s="233">
        <v>0.38103130000000002</v>
      </c>
      <c r="E47" s="232" t="s">
        <v>276</v>
      </c>
      <c r="F47" s="231">
        <v>24145</v>
      </c>
      <c r="G47" s="231">
        <v>92</v>
      </c>
      <c r="H47" s="235">
        <v>0</v>
      </c>
      <c r="I47" s="235">
        <v>0.91</v>
      </c>
      <c r="J47" s="235">
        <v>0.09</v>
      </c>
      <c r="K47" s="196">
        <f>H47*$G47</f>
        <v>0</v>
      </c>
      <c r="L47" s="196">
        <f t="shared" ref="L47:L62" si="16">I47*$G47</f>
        <v>83.72</v>
      </c>
      <c r="M47" s="196">
        <f t="shared" ref="M47:M62" si="17">J47*$G47</f>
        <v>8.2799999999999994</v>
      </c>
      <c r="N47" s="37">
        <v>1.0078955252971211E-2</v>
      </c>
      <c r="O47" s="37">
        <v>0.47106584293230586</v>
      </c>
      <c r="P47" s="37">
        <v>0.28156079701048753</v>
      </c>
      <c r="Q47" s="40">
        <v>7.5054404051075121E-3</v>
      </c>
      <c r="R47" s="40">
        <v>0.73552077271365301</v>
      </c>
      <c r="S47" s="40">
        <v>1</v>
      </c>
      <c r="T47" s="43">
        <f>(F47*N47)*Q47</f>
        <v>1.8264967666356511</v>
      </c>
      <c r="U47" s="43">
        <f>F47*N47*(1-Q47)*O47*R47</f>
        <v>83.684961166759038</v>
      </c>
      <c r="V47" s="43">
        <f>F47*N47*(1-Q47)*O47*(1-R47)*P47</f>
        <v>8.4725907552307564</v>
      </c>
      <c r="W47" s="45">
        <f t="shared" ref="W47:W62" si="18">(K47-T47)^2</f>
        <v>3.3360904385304879</v>
      </c>
      <c r="X47" s="45">
        <f t="shared" ref="X47:X62" si="19">(L47-U47)^2</f>
        <v>1.2277198348878593E-3</v>
      </c>
      <c r="Y47" s="45">
        <f t="shared" ref="Y47:Y62" si="20">(M47-V47)^2</f>
        <v>3.7091199000353389E-2</v>
      </c>
    </row>
    <row r="48" spans="2:25">
      <c r="B48" s="231">
        <v>1993</v>
      </c>
      <c r="C48" s="231">
        <v>1995</v>
      </c>
      <c r="D48" s="233">
        <v>0.35589179999999998</v>
      </c>
      <c r="E48" s="232" t="s">
        <v>276</v>
      </c>
      <c r="F48" s="231">
        <v>35685</v>
      </c>
      <c r="G48" s="231">
        <v>127</v>
      </c>
      <c r="H48" s="235">
        <v>0</v>
      </c>
      <c r="I48" s="235">
        <v>7.0000000000000007E-2</v>
      </c>
      <c r="J48" s="235">
        <v>0.93</v>
      </c>
      <c r="K48" s="196">
        <f t="shared" ref="K48:K62" si="21">H48*$G48</f>
        <v>0</v>
      </c>
      <c r="L48" s="196">
        <f t="shared" si="16"/>
        <v>8.89</v>
      </c>
      <c r="M48" s="196">
        <f t="shared" si="17"/>
        <v>118.11</v>
      </c>
      <c r="N48" s="37">
        <v>9.8027272093582432E-3</v>
      </c>
      <c r="O48" s="37">
        <v>0.36805779121531085</v>
      </c>
      <c r="P48" s="37">
        <v>0.98944502870965834</v>
      </c>
      <c r="Q48" s="40">
        <v>8.436846330179236E-3</v>
      </c>
      <c r="R48" s="40">
        <v>6.6767985767176588E-2</v>
      </c>
      <c r="S48" s="40">
        <v>1</v>
      </c>
      <c r="T48" s="43">
        <f t="shared" ref="T48:T62" si="22">(F48*N48)*Q48</f>
        <v>2.9512959184819634</v>
      </c>
      <c r="U48" s="43">
        <f t="shared" ref="U48:U62" si="23">F48*N48*(1-Q48)*O48*R48</f>
        <v>8.5238792477133813</v>
      </c>
      <c r="V48" s="43">
        <f t="shared" ref="V48:V62" si="24">F48*N48*(1-Q48)*O48*(1-R48)*P48</f>
        <v>117.88276487950763</v>
      </c>
      <c r="W48" s="45">
        <f t="shared" si="18"/>
        <v>8.7101475984482963</v>
      </c>
      <c r="X48" s="45">
        <f t="shared" si="19"/>
        <v>0.13404440525492001</v>
      </c>
      <c r="Y48" s="45">
        <f t="shared" si="20"/>
        <v>5.1635799985180371E-2</v>
      </c>
    </row>
    <row r="49" spans="2:25">
      <c r="B49" s="231">
        <v>1996</v>
      </c>
      <c r="C49" s="231">
        <v>1998</v>
      </c>
      <c r="D49" s="233">
        <v>0.97036909999999998</v>
      </c>
      <c r="E49" s="232" t="s">
        <v>276</v>
      </c>
      <c r="F49" s="231">
        <v>5771</v>
      </c>
      <c r="G49" s="231">
        <v>56</v>
      </c>
      <c r="H49" s="235">
        <v>0.03</v>
      </c>
      <c r="I49" s="235">
        <v>0.95</v>
      </c>
      <c r="J49" s="235">
        <v>0.02</v>
      </c>
      <c r="K49" s="196">
        <f t="shared" si="21"/>
        <v>1.68</v>
      </c>
      <c r="L49" s="196">
        <f t="shared" si="16"/>
        <v>53.199999999999996</v>
      </c>
      <c r="M49" s="196">
        <f t="shared" si="17"/>
        <v>1.1200000000000001</v>
      </c>
      <c r="N49" s="37">
        <v>2.347896584901954E-2</v>
      </c>
      <c r="O49" s="37">
        <v>0.41702693082736786</v>
      </c>
      <c r="P49" s="37">
        <v>0.47139234308652028</v>
      </c>
      <c r="Q49" s="40">
        <v>2.727335132211792E-2</v>
      </c>
      <c r="R49" s="40">
        <v>0.96699670515022096</v>
      </c>
      <c r="S49" s="40">
        <v>1</v>
      </c>
      <c r="T49" s="43">
        <f t="shared" si="22"/>
        <v>3.6954603363817187</v>
      </c>
      <c r="U49" s="43">
        <f t="shared" si="23"/>
        <v>53.150817473018165</v>
      </c>
      <c r="V49" s="43">
        <f t="shared" si="24"/>
        <v>0.85511549771911033</v>
      </c>
      <c r="W49" s="45">
        <f t="shared" si="18"/>
        <v>4.062080367527912</v>
      </c>
      <c r="X49" s="45">
        <f t="shared" si="19"/>
        <v>2.4189209603185024E-3</v>
      </c>
      <c r="Y49" s="45">
        <f t="shared" si="20"/>
        <v>7.0163799548594696E-2</v>
      </c>
    </row>
    <row r="50" spans="2:25">
      <c r="B50" s="231">
        <v>1997</v>
      </c>
      <c r="C50" s="231">
        <v>1999</v>
      </c>
      <c r="D50" s="233">
        <v>0.73324540000000005</v>
      </c>
      <c r="E50" s="232" t="s">
        <v>276</v>
      </c>
      <c r="F50" s="231">
        <v>13638</v>
      </c>
      <c r="G50" s="231">
        <v>100</v>
      </c>
      <c r="H50" s="235">
        <v>0.04</v>
      </c>
      <c r="I50" s="235">
        <v>0.83</v>
      </c>
      <c r="J50" s="235">
        <v>0.13</v>
      </c>
      <c r="K50" s="196">
        <f t="shared" si="21"/>
        <v>4</v>
      </c>
      <c r="L50" s="196">
        <f t="shared" si="16"/>
        <v>83</v>
      </c>
      <c r="M50" s="196">
        <f t="shared" si="17"/>
        <v>13</v>
      </c>
      <c r="N50" s="37">
        <v>1.8818670058978238E-2</v>
      </c>
      <c r="O50" s="37">
        <v>0.43809189246293628</v>
      </c>
      <c r="P50" s="37">
        <v>0.46309896451326282</v>
      </c>
      <c r="Q50" s="40">
        <v>1.9292459998043594E-2</v>
      </c>
      <c r="R50" s="40">
        <v>0.75294533449405721</v>
      </c>
      <c r="S50" s="40">
        <v>1</v>
      </c>
      <c r="T50" s="43">
        <f t="shared" si="22"/>
        <v>4.9513909955718791</v>
      </c>
      <c r="U50" s="43">
        <f t="shared" si="23"/>
        <v>83.024790998578794</v>
      </c>
      <c r="V50" s="43">
        <f t="shared" si="24"/>
        <v>12.615695964974009</v>
      </c>
      <c r="W50" s="45">
        <f t="shared" si="18"/>
        <v>0.90514482645525129</v>
      </c>
      <c r="X50" s="45">
        <f t="shared" si="19"/>
        <v>6.1459361053377542E-4</v>
      </c>
      <c r="Y50" s="45">
        <f t="shared" si="20"/>
        <v>0.14768959133725826</v>
      </c>
    </row>
    <row r="51" spans="2:25">
      <c r="B51" s="231">
        <v>1998</v>
      </c>
      <c r="C51" s="231">
        <v>2000</v>
      </c>
      <c r="D51" s="233">
        <v>2.1989610000000002</v>
      </c>
      <c r="E51" s="232" t="s">
        <v>276</v>
      </c>
      <c r="F51" s="231">
        <v>13279</v>
      </c>
      <c r="G51" s="231">
        <v>292</v>
      </c>
      <c r="H51" s="235">
        <v>0</v>
      </c>
      <c r="I51" s="235">
        <v>0.27</v>
      </c>
      <c r="J51" s="235">
        <v>0.73</v>
      </c>
      <c r="K51" s="196">
        <f t="shared" si="21"/>
        <v>0</v>
      </c>
      <c r="L51" s="196">
        <f t="shared" si="16"/>
        <v>78.84</v>
      </c>
      <c r="M51" s="196">
        <f t="shared" si="17"/>
        <v>213.16</v>
      </c>
      <c r="N51" s="37">
        <v>3.1344413086464934E-2</v>
      </c>
      <c r="O51" s="37">
        <v>0.81629463337814234</v>
      </c>
      <c r="P51" s="37">
        <v>0.82532908128766824</v>
      </c>
      <c r="Q51" s="40">
        <v>6.7458190103741253E-3</v>
      </c>
      <c r="R51" s="40">
        <v>0.23371013752747052</v>
      </c>
      <c r="S51" s="40">
        <v>1</v>
      </c>
      <c r="T51" s="43">
        <f t="shared" si="22"/>
        <v>2.8077613924893177</v>
      </c>
      <c r="U51" s="43">
        <f t="shared" si="23"/>
        <v>78.869739656456872</v>
      </c>
      <c r="V51" s="43">
        <f t="shared" si="24"/>
        <v>213.42883048634002</v>
      </c>
      <c r="W51" s="45">
        <f t="shared" si="18"/>
        <v>7.8835240371535518</v>
      </c>
      <c r="X51" s="45">
        <f t="shared" si="19"/>
        <v>8.8444716617256628E-4</v>
      </c>
      <c r="Y51" s="45">
        <f t="shared" si="20"/>
        <v>7.2269830385812722E-2</v>
      </c>
    </row>
    <row r="52" spans="2:25">
      <c r="B52" s="231">
        <v>2000</v>
      </c>
      <c r="C52" s="231">
        <v>2002</v>
      </c>
      <c r="D52" s="233">
        <v>0.62272349999999999</v>
      </c>
      <c r="E52" s="232" t="s">
        <v>276</v>
      </c>
      <c r="F52" s="231">
        <v>8511</v>
      </c>
      <c r="G52" s="231">
        <v>53</v>
      </c>
      <c r="H52" s="235">
        <v>0.04</v>
      </c>
      <c r="I52" s="235">
        <v>0.96</v>
      </c>
      <c r="J52" s="235">
        <v>0</v>
      </c>
      <c r="K52" s="196">
        <f t="shared" si="21"/>
        <v>2.12</v>
      </c>
      <c r="L52" s="196">
        <f t="shared" si="16"/>
        <v>50.879999999999995</v>
      </c>
      <c r="M52" s="196">
        <f t="shared" si="17"/>
        <v>0</v>
      </c>
      <c r="N52" s="37">
        <v>3.8465025175681095E-2</v>
      </c>
      <c r="O52" s="37">
        <v>0.56891535154852724</v>
      </c>
      <c r="P52" s="37">
        <v>0</v>
      </c>
      <c r="Q52" s="40">
        <v>2.2069067719143495E-3</v>
      </c>
      <c r="R52" s="40">
        <v>0.27383590561242105</v>
      </c>
      <c r="S52" s="40">
        <v>1</v>
      </c>
      <c r="T52" s="43">
        <f t="shared" si="22"/>
        <v>0.72248793457752836</v>
      </c>
      <c r="U52" s="43">
        <f t="shared" si="23"/>
        <v>50.889144553314793</v>
      </c>
      <c r="V52" s="43">
        <f t="shared" si="24"/>
        <v>0</v>
      </c>
      <c r="W52" s="45">
        <f t="shared" si="18"/>
        <v>1.953039973001383</v>
      </c>
      <c r="X52" s="45">
        <f t="shared" si="19"/>
        <v>8.3622855327175345E-5</v>
      </c>
      <c r="Y52" s="45">
        <f t="shared" si="20"/>
        <v>0</v>
      </c>
    </row>
    <row r="53" spans="2:25">
      <c r="B53" s="231">
        <v>2001</v>
      </c>
      <c r="C53" s="231">
        <v>2003</v>
      </c>
      <c r="D53" s="233">
        <v>0.47641729999999999</v>
      </c>
      <c r="E53" s="232" t="s">
        <v>276</v>
      </c>
      <c r="F53" s="231">
        <v>4198</v>
      </c>
      <c r="G53" s="231">
        <v>20</v>
      </c>
      <c r="H53" s="235">
        <v>0</v>
      </c>
      <c r="I53" s="235">
        <v>0.97</v>
      </c>
      <c r="J53" s="235">
        <v>0.03</v>
      </c>
      <c r="K53" s="196">
        <f t="shared" si="21"/>
        <v>0</v>
      </c>
      <c r="L53" s="196">
        <f t="shared" si="16"/>
        <v>19.399999999999999</v>
      </c>
      <c r="M53" s="196">
        <f t="shared" si="17"/>
        <v>0.6</v>
      </c>
      <c r="N53" s="37">
        <v>1.5981409321380056E-2</v>
      </c>
      <c r="O53" s="37">
        <v>0.32832249293491106</v>
      </c>
      <c r="P53" s="37">
        <v>0.42141677024991875</v>
      </c>
      <c r="Q53" s="40">
        <v>2.5727142861929803E-2</v>
      </c>
      <c r="R53" s="40">
        <v>0.89361092764592553</v>
      </c>
      <c r="S53" s="40">
        <v>1</v>
      </c>
      <c r="T53" s="43">
        <f t="shared" si="22"/>
        <v>1.7260328911322174</v>
      </c>
      <c r="U53" s="43">
        <f t="shared" si="23"/>
        <v>19.177289318541739</v>
      </c>
      <c r="V53" s="43">
        <f t="shared" si="24"/>
        <v>0.96216063765859117</v>
      </c>
      <c r="W53" s="45">
        <f t="shared" si="18"/>
        <v>2.9791895412702409</v>
      </c>
      <c r="X53" s="45">
        <f t="shared" si="19"/>
        <v>4.9600047635602461E-2</v>
      </c>
      <c r="Y53" s="45">
        <f t="shared" si="20"/>
        <v>0.13116032746927739</v>
      </c>
    </row>
    <row r="54" spans="2:25">
      <c r="B54" s="231">
        <v>2002</v>
      </c>
      <c r="C54" s="231">
        <v>2004</v>
      </c>
      <c r="D54" s="233">
        <v>1.400744</v>
      </c>
      <c r="E54" s="232" t="s">
        <v>276</v>
      </c>
      <c r="F54" s="231">
        <v>4569</v>
      </c>
      <c r="G54" s="231">
        <v>64</v>
      </c>
      <c r="H54" s="235">
        <v>0</v>
      </c>
      <c r="I54" s="235">
        <v>0.73</v>
      </c>
      <c r="J54" s="235">
        <v>0.28000000000000003</v>
      </c>
      <c r="K54" s="196">
        <f t="shared" si="21"/>
        <v>0</v>
      </c>
      <c r="L54" s="196">
        <f t="shared" si="16"/>
        <v>46.72</v>
      </c>
      <c r="M54" s="196">
        <f t="shared" si="17"/>
        <v>17.920000000000002</v>
      </c>
      <c r="N54" s="37">
        <v>3.1036718864931742E-2</v>
      </c>
      <c r="O54" s="37">
        <v>0.56932807914648442</v>
      </c>
      <c r="P54" s="37">
        <v>0.53387619868653879</v>
      </c>
      <c r="Q54" s="40">
        <v>2.165464567767976E-2</v>
      </c>
      <c r="R54" s="40">
        <v>0.59082187156584032</v>
      </c>
      <c r="S54" s="40">
        <v>1</v>
      </c>
      <c r="T54" s="43">
        <f t="shared" si="22"/>
        <v>3.0707753264315842</v>
      </c>
      <c r="U54" s="43">
        <f t="shared" si="23"/>
        <v>46.666831525297731</v>
      </c>
      <c r="V54" s="43">
        <f t="shared" si="24"/>
        <v>17.254593103475585</v>
      </c>
      <c r="W54" s="45">
        <f t="shared" si="18"/>
        <v>9.4296611054210029</v>
      </c>
      <c r="X54" s="45">
        <f t="shared" si="19"/>
        <v>2.8268867021657169E-3</v>
      </c>
      <c r="Y54" s="45">
        <f t="shared" si="20"/>
        <v>0.44276633794225545</v>
      </c>
    </row>
    <row r="55" spans="2:25">
      <c r="B55" s="231">
        <v>2003</v>
      </c>
      <c r="C55" s="231">
        <v>2005</v>
      </c>
      <c r="D55" s="233">
        <v>0.66463090000000002</v>
      </c>
      <c r="E55" s="232" t="s">
        <v>276</v>
      </c>
      <c r="F55" s="231">
        <v>5567</v>
      </c>
      <c r="G55" s="231">
        <v>37</v>
      </c>
      <c r="H55" s="235">
        <v>0.01</v>
      </c>
      <c r="I55" s="235">
        <v>0.04</v>
      </c>
      <c r="J55" s="235">
        <v>0.95</v>
      </c>
      <c r="K55" s="196">
        <f t="shared" si="21"/>
        <v>0.37</v>
      </c>
      <c r="L55" s="196">
        <f t="shared" si="16"/>
        <v>1.48</v>
      </c>
      <c r="M55" s="196">
        <f t="shared" si="17"/>
        <v>35.15</v>
      </c>
      <c r="N55" s="37">
        <v>1.7601672116407233E-2</v>
      </c>
      <c r="O55" s="37">
        <v>0.44846764984729204</v>
      </c>
      <c r="P55" s="37">
        <v>0.86173050107820293</v>
      </c>
      <c r="Q55" s="40">
        <v>2.6141546653633163E-2</v>
      </c>
      <c r="R55" s="40">
        <v>5.4863549329266278E-2</v>
      </c>
      <c r="S55" s="40">
        <v>1</v>
      </c>
      <c r="T55" s="43">
        <f t="shared" si="22"/>
        <v>2.5615711709700473</v>
      </c>
      <c r="U55" s="43">
        <f t="shared" si="23"/>
        <v>2.3479346631329809</v>
      </c>
      <c r="V55" s="43">
        <f t="shared" si="24"/>
        <v>34.855240605806479</v>
      </c>
      <c r="W55" s="45">
        <f t="shared" si="18"/>
        <v>4.8029841974270235</v>
      </c>
      <c r="X55" s="45">
        <f t="shared" si="19"/>
        <v>0.75331057946776114</v>
      </c>
      <c r="Y55" s="45">
        <f t="shared" si="20"/>
        <v>8.6883100465330668E-2</v>
      </c>
    </row>
    <row r="56" spans="2:25">
      <c r="B56" s="231">
        <v>2004</v>
      </c>
      <c r="C56" s="231">
        <v>2006</v>
      </c>
      <c r="D56" s="233">
        <v>0.21478700000000001</v>
      </c>
      <c r="E56" s="232" t="s">
        <v>276</v>
      </c>
      <c r="F56" s="231">
        <v>33056</v>
      </c>
      <c r="G56" s="231">
        <v>71</v>
      </c>
      <c r="H56" s="235">
        <v>0.12</v>
      </c>
      <c r="I56" s="235">
        <v>0.89</v>
      </c>
      <c r="J56" s="235">
        <v>0</v>
      </c>
      <c r="K56" s="196">
        <f t="shared" si="21"/>
        <v>8.52</v>
      </c>
      <c r="L56" s="196">
        <f t="shared" si="16"/>
        <v>63.19</v>
      </c>
      <c r="M56" s="196">
        <f t="shared" si="17"/>
        <v>0</v>
      </c>
      <c r="N56" s="37">
        <v>9.4899767598581684E-3</v>
      </c>
      <c r="O56" s="37">
        <v>0.20968905737918483</v>
      </c>
      <c r="P56" s="37">
        <v>0.36281926048615043</v>
      </c>
      <c r="Q56" s="40">
        <v>2.5407586404479082E-2</v>
      </c>
      <c r="R56" s="40">
        <v>0.98617193708080408</v>
      </c>
      <c r="S56" s="40">
        <v>1</v>
      </c>
      <c r="T56" s="43">
        <f t="shared" si="22"/>
        <v>7.970376923237775</v>
      </c>
      <c r="U56" s="43">
        <f t="shared" si="23"/>
        <v>63.221803770236669</v>
      </c>
      <c r="V56" s="43">
        <f t="shared" si="24"/>
        <v>0.3216369412220953</v>
      </c>
      <c r="W56" s="45">
        <f t="shared" si="18"/>
        <v>0.30208552650957415</v>
      </c>
      <c r="X56" s="45">
        <f t="shared" si="19"/>
        <v>1.0114798012669547E-3</v>
      </c>
      <c r="Y56" s="45">
        <f t="shared" si="20"/>
        <v>0.10345032195870559</v>
      </c>
    </row>
    <row r="57" spans="2:25">
      <c r="B57" s="231">
        <v>2005</v>
      </c>
      <c r="C57" s="231">
        <v>2007</v>
      </c>
      <c r="D57" s="233">
        <v>0.64355130000000005</v>
      </c>
      <c r="E57" s="232" t="s">
        <v>276</v>
      </c>
      <c r="F57" s="231">
        <v>15228</v>
      </c>
      <c r="G57" s="231">
        <v>98</v>
      </c>
      <c r="H57" s="235">
        <v>0.05</v>
      </c>
      <c r="I57" s="235">
        <v>0.76</v>
      </c>
      <c r="J57" s="235">
        <v>0.19</v>
      </c>
      <c r="K57" s="196">
        <f t="shared" si="21"/>
        <v>4.9000000000000004</v>
      </c>
      <c r="L57" s="196">
        <f t="shared" si="16"/>
        <v>74.48</v>
      </c>
      <c r="M57" s="196">
        <f t="shared" si="17"/>
        <v>18.62</v>
      </c>
      <c r="N57" s="37">
        <v>1.8270713448773138E-2</v>
      </c>
      <c r="O57" s="37">
        <v>0.64943950498245095</v>
      </c>
      <c r="P57" s="37">
        <v>0.17542315614587814</v>
      </c>
      <c r="Q57" s="40">
        <v>2.0127145675248342E-2</v>
      </c>
      <c r="R57" s="40">
        <v>0.42067349791735292</v>
      </c>
      <c r="S57" s="40">
        <v>1</v>
      </c>
      <c r="T57" s="43">
        <f t="shared" si="22"/>
        <v>5.5999037745603522</v>
      </c>
      <c r="U57" s="43">
        <f t="shared" si="23"/>
        <v>74.482107483076135</v>
      </c>
      <c r="V57" s="43">
        <f t="shared" si="24"/>
        <v>17.993561005007532</v>
      </c>
      <c r="W57" s="45">
        <f t="shared" si="18"/>
        <v>0.48986529364382775</v>
      </c>
      <c r="X57" s="45">
        <f t="shared" si="19"/>
        <v>4.4414849161774607E-6</v>
      </c>
      <c r="Y57" s="45">
        <f t="shared" si="20"/>
        <v>0.39242581444717478</v>
      </c>
    </row>
    <row r="58" spans="2:25">
      <c r="B58" s="231">
        <v>2006</v>
      </c>
      <c r="C58" s="231">
        <v>2008</v>
      </c>
      <c r="D58" s="233">
        <v>1.387861</v>
      </c>
      <c r="E58" s="232" t="s">
        <v>276</v>
      </c>
      <c r="F58" s="231">
        <v>10808</v>
      </c>
      <c r="G58" s="231">
        <v>150</v>
      </c>
      <c r="H58" s="235">
        <v>0.11</v>
      </c>
      <c r="I58" s="235">
        <v>0.82</v>
      </c>
      <c r="J58" s="235">
        <v>7.0000000000000007E-2</v>
      </c>
      <c r="K58" s="196">
        <f t="shared" si="21"/>
        <v>16.5</v>
      </c>
      <c r="L58" s="196">
        <f t="shared" si="16"/>
        <v>122.99999999999999</v>
      </c>
      <c r="M58" s="196">
        <f t="shared" si="17"/>
        <v>10.500000000000002</v>
      </c>
      <c r="N58" s="37">
        <v>3.5314087282782292E-2</v>
      </c>
      <c r="O58" s="37">
        <v>0.39445475516778267</v>
      </c>
      <c r="P58" s="37">
        <v>0.48716553129969298</v>
      </c>
      <c r="Q58" s="40">
        <v>4.3784160795757428E-2</v>
      </c>
      <c r="R58" s="40">
        <v>0.85382306642194339</v>
      </c>
      <c r="S58" s="40">
        <v>1</v>
      </c>
      <c r="T58" s="43">
        <f t="shared" si="22"/>
        <v>16.711304481610881</v>
      </c>
      <c r="U58" s="43">
        <f t="shared" si="23"/>
        <v>122.91767431936377</v>
      </c>
      <c r="V58" s="43">
        <f t="shared" si="24"/>
        <v>10.251840749810817</v>
      </c>
      <c r="W58" s="45">
        <f t="shared" si="18"/>
        <v>4.4649583948843191E-2</v>
      </c>
      <c r="X58" s="45">
        <f t="shared" si="19"/>
        <v>6.7775176922163461E-3</v>
      </c>
      <c r="Y58" s="45">
        <f t="shared" si="20"/>
        <v>6.1583013454458158E-2</v>
      </c>
    </row>
    <row r="59" spans="2:25">
      <c r="B59" s="231">
        <v>2008</v>
      </c>
      <c r="C59" s="231">
        <v>2010</v>
      </c>
      <c r="D59" s="233">
        <v>1.466655</v>
      </c>
      <c r="E59" s="232" t="s">
        <v>276</v>
      </c>
      <c r="F59" s="231">
        <v>22432</v>
      </c>
      <c r="G59" s="231">
        <v>329</v>
      </c>
      <c r="H59" s="235">
        <v>0.22</v>
      </c>
      <c r="I59" s="235">
        <v>0.65</v>
      </c>
      <c r="J59" s="235">
        <v>0.13</v>
      </c>
      <c r="K59" s="196">
        <f t="shared" si="21"/>
        <v>72.38</v>
      </c>
      <c r="L59" s="196">
        <f t="shared" si="16"/>
        <v>213.85</v>
      </c>
      <c r="M59" s="196">
        <f t="shared" si="17"/>
        <v>42.77</v>
      </c>
      <c r="N59" s="37">
        <v>5.0829397043840888E-2</v>
      </c>
      <c r="O59" s="37">
        <v>0.28659801209618485</v>
      </c>
      <c r="P59" s="37">
        <v>0.46426322438158035</v>
      </c>
      <c r="Q59" s="40">
        <v>6.353996635464644E-2</v>
      </c>
      <c r="R59" s="40">
        <v>0.69886073884790889</v>
      </c>
      <c r="S59" s="40">
        <v>1</v>
      </c>
      <c r="T59" s="43">
        <f t="shared" si="22"/>
        <v>72.448589528730338</v>
      </c>
      <c r="U59" s="43">
        <f t="shared" si="23"/>
        <v>213.86317903260453</v>
      </c>
      <c r="V59" s="43">
        <f t="shared" si="24"/>
        <v>42.783571809396271</v>
      </c>
      <c r="W59" s="45">
        <f t="shared" si="18"/>
        <v>4.7045234514504668E-3</v>
      </c>
      <c r="X59" s="45">
        <f t="shared" si="19"/>
        <v>1.7368690039154031E-4</v>
      </c>
      <c r="Y59" s="45">
        <f t="shared" si="20"/>
        <v>1.8419401028862861E-4</v>
      </c>
    </row>
    <row r="60" spans="2:25">
      <c r="B60" s="231">
        <v>2009</v>
      </c>
      <c r="C60" s="231">
        <v>2011</v>
      </c>
      <c r="D60" s="233">
        <v>1.6077939999999999</v>
      </c>
      <c r="E60" s="232" t="s">
        <v>276</v>
      </c>
      <c r="F60" s="231">
        <v>20836</v>
      </c>
      <c r="G60" s="231">
        <v>335</v>
      </c>
      <c r="H60" s="235">
        <v>0.11</v>
      </c>
      <c r="I60" s="235">
        <v>0.69</v>
      </c>
      <c r="J60" s="235">
        <v>0.19</v>
      </c>
      <c r="K60" s="196">
        <f t="shared" si="21"/>
        <v>36.85</v>
      </c>
      <c r="L60" s="196">
        <f t="shared" si="16"/>
        <v>231.14999999999998</v>
      </c>
      <c r="M60" s="196">
        <f t="shared" si="17"/>
        <v>63.65</v>
      </c>
      <c r="N60" s="37">
        <v>3.7683652784277287E-2</v>
      </c>
      <c r="O60" s="37">
        <v>0.47632249927050568</v>
      </c>
      <c r="P60" s="37">
        <v>0.50605750899724822</v>
      </c>
      <c r="Q60" s="40">
        <v>4.6985629282814287E-2</v>
      </c>
      <c r="R60" s="40">
        <v>0.64837579269904355</v>
      </c>
      <c r="S60" s="40">
        <v>1</v>
      </c>
      <c r="T60" s="43">
        <f t="shared" si="22"/>
        <v>36.892016151713172</v>
      </c>
      <c r="U60" s="43">
        <f t="shared" si="23"/>
        <v>231.09719803912517</v>
      </c>
      <c r="V60" s="43">
        <f t="shared" si="24"/>
        <v>63.422962975006435</v>
      </c>
      <c r="W60" s="45">
        <f t="shared" si="18"/>
        <v>1.7653570047841437E-3</v>
      </c>
      <c r="X60" s="45">
        <f t="shared" si="19"/>
        <v>2.7880470722241729E-3</v>
      </c>
      <c r="Y60" s="45">
        <f t="shared" si="20"/>
        <v>5.1545810717928124E-2</v>
      </c>
    </row>
    <row r="61" spans="2:25">
      <c r="B61" s="231">
        <v>2010</v>
      </c>
      <c r="C61" s="231">
        <v>2012</v>
      </c>
      <c r="D61" s="233">
        <v>1.2850010000000001</v>
      </c>
      <c r="E61" s="232" t="s">
        <v>276</v>
      </c>
      <c r="F61" s="231">
        <v>66070</v>
      </c>
      <c r="G61" s="231">
        <v>849</v>
      </c>
      <c r="H61" s="235">
        <v>0.06</v>
      </c>
      <c r="I61" s="235">
        <v>0.88</v>
      </c>
      <c r="J61" s="235">
        <v>0.06</v>
      </c>
      <c r="K61" s="196">
        <f t="shared" si="21"/>
        <v>50.94</v>
      </c>
      <c r="L61" s="196">
        <f t="shared" si="16"/>
        <v>747.12</v>
      </c>
      <c r="M61" s="196">
        <f t="shared" si="17"/>
        <v>50.94</v>
      </c>
      <c r="N61" s="37">
        <v>2.1477558144041488E-2</v>
      </c>
      <c r="O61" s="37">
        <v>0.66850657431036586</v>
      </c>
      <c r="P61" s="37">
        <v>0.30410937168625274</v>
      </c>
      <c r="Q61" s="40">
        <v>3.620329470323555E-2</v>
      </c>
      <c r="R61" s="40">
        <v>0.81716210294084524</v>
      </c>
      <c r="S61" s="40">
        <v>1</v>
      </c>
      <c r="T61" s="43">
        <f t="shared" si="22"/>
        <v>51.373281307333933</v>
      </c>
      <c r="U61" s="43">
        <f t="shared" si="23"/>
        <v>747.1168780030215</v>
      </c>
      <c r="V61" s="43">
        <f t="shared" si="24"/>
        <v>50.836583007796754</v>
      </c>
      <c r="W61" s="45">
        <f t="shared" si="18"/>
        <v>0.18773269128500403</v>
      </c>
      <c r="X61" s="45">
        <f t="shared" si="19"/>
        <v>9.746865133806922E-6</v>
      </c>
      <c r="Y61" s="45">
        <f t="shared" si="20"/>
        <v>1.0695074276365684E-2</v>
      </c>
    </row>
    <row r="62" spans="2:25">
      <c r="B62" s="231">
        <v>2011</v>
      </c>
      <c r="C62" s="231">
        <v>2013</v>
      </c>
      <c r="D62" s="233">
        <v>2.079526</v>
      </c>
      <c r="E62" s="232" t="s">
        <v>276</v>
      </c>
      <c r="F62" s="231">
        <v>19043</v>
      </c>
      <c r="G62" s="231">
        <v>396</v>
      </c>
      <c r="H62" s="235">
        <v>0.22</v>
      </c>
      <c r="I62" s="235">
        <v>0.72</v>
      </c>
      <c r="J62" s="235">
        <v>0.05</v>
      </c>
      <c r="K62" s="196">
        <f t="shared" si="21"/>
        <v>87.12</v>
      </c>
      <c r="L62" s="196">
        <f t="shared" si="16"/>
        <v>285.12</v>
      </c>
      <c r="M62" s="196">
        <f t="shared" si="17"/>
        <v>19.8</v>
      </c>
      <c r="N62" s="37">
        <v>6.857191416288641E-2</v>
      </c>
      <c r="O62" s="37">
        <v>0.26454531839843576</v>
      </c>
      <c r="P62" s="37">
        <v>0.53243329796721905</v>
      </c>
      <c r="Q62" s="40">
        <v>6.6769434168178959E-2</v>
      </c>
      <c r="R62" s="40">
        <v>0.88467861277534954</v>
      </c>
      <c r="S62" s="40">
        <v>1</v>
      </c>
      <c r="T62" s="43">
        <f t="shared" si="22"/>
        <v>87.188526101277233</v>
      </c>
      <c r="U62" s="43">
        <f t="shared" si="23"/>
        <v>285.20438829723247</v>
      </c>
      <c r="V62" s="43">
        <f t="shared" si="24"/>
        <v>19.794554928746514</v>
      </c>
      <c r="W62" s="45">
        <f t="shared" si="18"/>
        <v>4.6958265562570033E-3</v>
      </c>
      <c r="X62" s="45">
        <f t="shared" si="19"/>
        <v>7.1213847097948589E-3</v>
      </c>
      <c r="Y62" s="45">
        <f t="shared" si="20"/>
        <v>2.9648800955546009E-5</v>
      </c>
    </row>
    <row r="63" spans="2:25">
      <c r="C63" s="236" t="s">
        <v>195</v>
      </c>
      <c r="D63" s="242">
        <f>AVERAGE(D47:D62)</f>
        <v>1.03057435</v>
      </c>
      <c r="E63" s="237"/>
      <c r="F63" s="237">
        <f t="shared" ref="F63:V63" si="25">AVERAGE(F47:F62)</f>
        <v>18927.25</v>
      </c>
      <c r="G63" s="237">
        <f t="shared" si="25"/>
        <v>191.8125</v>
      </c>
      <c r="H63" s="238">
        <f t="shared" si="25"/>
        <v>6.3125000000000001E-2</v>
      </c>
      <c r="I63" s="238">
        <f t="shared" si="25"/>
        <v>0.69625000000000004</v>
      </c>
      <c r="J63" s="238">
        <f t="shared" si="25"/>
        <v>0.24062499999999998</v>
      </c>
      <c r="K63" s="237">
        <f t="shared" si="25"/>
        <v>17.83625</v>
      </c>
      <c r="L63" s="237">
        <f t="shared" si="25"/>
        <v>135.2525</v>
      </c>
      <c r="M63" s="241">
        <f t="shared" si="25"/>
        <v>38.351249999999993</v>
      </c>
      <c r="N63" s="238">
        <f t="shared" si="25"/>
        <v>2.7390366035103246E-2</v>
      </c>
      <c r="O63" s="238">
        <f t="shared" si="25"/>
        <v>0.4609453991186368</v>
      </c>
      <c r="P63" s="238">
        <f t="shared" si="25"/>
        <v>0.48000756472414247</v>
      </c>
      <c r="Q63" s="238">
        <f t="shared" si="25"/>
        <v>2.7987586025958716E-2</v>
      </c>
      <c r="R63" s="238">
        <f t="shared" si="25"/>
        <v>0.61742618365557989</v>
      </c>
      <c r="S63" s="238">
        <f t="shared" si="25"/>
        <v>1</v>
      </c>
      <c r="T63" s="241">
        <f t="shared" si="25"/>
        <v>18.906079437570973</v>
      </c>
      <c r="U63" s="241">
        <f t="shared" si="25"/>
        <v>135.26491359671712</v>
      </c>
      <c r="V63" s="241">
        <f t="shared" si="25"/>
        <v>38.233231459231163</v>
      </c>
    </row>
    <row r="64" spans="2:25">
      <c r="C64" s="236" t="s">
        <v>166</v>
      </c>
      <c r="D64" s="242">
        <f>STDEV(D47:D62)</f>
        <v>0.61697988739445875</v>
      </c>
      <c r="E64" s="237"/>
      <c r="F64" s="237">
        <f t="shared" ref="F64:V64" si="26">STDEV(F47:F62)</f>
        <v>15850.814328187264</v>
      </c>
      <c r="G64" s="237">
        <f t="shared" si="26"/>
        <v>212.63778866106247</v>
      </c>
      <c r="H64" s="238">
        <f t="shared" si="26"/>
        <v>7.3911546233769637E-2</v>
      </c>
      <c r="I64" s="238">
        <f t="shared" si="26"/>
        <v>0.30238772020922611</v>
      </c>
      <c r="J64" s="238">
        <f t="shared" si="26"/>
        <v>0.32441678439932786</v>
      </c>
      <c r="K64" s="237">
        <f t="shared" si="26"/>
        <v>28.382811670680784</v>
      </c>
      <c r="L64" s="237">
        <f t="shared" si="26"/>
        <v>182.35394511772975</v>
      </c>
      <c r="M64" s="241">
        <f t="shared" si="26"/>
        <v>55.960914202086919</v>
      </c>
      <c r="N64" s="238">
        <f t="shared" si="26"/>
        <v>1.6182176961309979E-2</v>
      </c>
      <c r="O64" s="238">
        <f t="shared" si="26"/>
        <v>0.16206427780230612</v>
      </c>
      <c r="P64" s="238">
        <f t="shared" si="26"/>
        <v>0.25061793071554317</v>
      </c>
      <c r="Q64" s="238">
        <f t="shared" si="26"/>
        <v>1.924707155324051E-2</v>
      </c>
      <c r="R64" s="238">
        <f t="shared" si="26"/>
        <v>0.31261977706727423</v>
      </c>
      <c r="S64" s="238">
        <f t="shared" si="26"/>
        <v>0</v>
      </c>
      <c r="T64" s="241">
        <f t="shared" si="26"/>
        <v>27.789186311212841</v>
      </c>
      <c r="U64" s="241">
        <f t="shared" si="26"/>
        <v>182.34244385513352</v>
      </c>
      <c r="V64" s="241">
        <f t="shared" si="26"/>
        <v>56.013688339766453</v>
      </c>
      <c r="X64" s="239" t="s">
        <v>283</v>
      </c>
      <c r="Y64" s="240">
        <f>SUM(W47:Y62)</f>
        <v>47.719832279448454</v>
      </c>
    </row>
    <row r="65" spans="2:25">
      <c r="C65" s="236" t="s">
        <v>185</v>
      </c>
      <c r="D65" s="238">
        <f>D64/D63</f>
        <v>0.59867576501827235</v>
      </c>
      <c r="E65" s="238"/>
      <c r="F65" s="238">
        <f>F64/F63</f>
        <v>0.83745997586481202</v>
      </c>
      <c r="G65" s="238">
        <f t="shared" ref="G65:V65" si="27">G64/G63</f>
        <v>1.1085710715467578</v>
      </c>
      <c r="H65" s="238">
        <f t="shared" si="27"/>
        <v>1.1708759799409052</v>
      </c>
      <c r="I65" s="238">
        <f t="shared" si="27"/>
        <v>0.43430911340642886</v>
      </c>
      <c r="J65" s="238">
        <f t="shared" si="27"/>
        <v>1.3482255975037003</v>
      </c>
      <c r="K65" s="238">
        <f t="shared" si="27"/>
        <v>1.5912992737083627</v>
      </c>
      <c r="L65" s="238">
        <f t="shared" si="27"/>
        <v>1.3482482402745217</v>
      </c>
      <c r="M65" s="238">
        <f t="shared" si="27"/>
        <v>1.4591679333030065</v>
      </c>
      <c r="N65" s="238">
        <f t="shared" si="27"/>
        <v>0.59079812736241077</v>
      </c>
      <c r="O65" s="238">
        <f t="shared" si="27"/>
        <v>0.35159105202521934</v>
      </c>
      <c r="P65" s="238">
        <f t="shared" si="27"/>
        <v>0.52211246058084904</v>
      </c>
      <c r="Q65" s="238">
        <f t="shared" si="27"/>
        <v>0.68770030882222899</v>
      </c>
      <c r="R65" s="238">
        <f t="shared" si="27"/>
        <v>0.50632737215055257</v>
      </c>
      <c r="S65" s="238">
        <f t="shared" si="27"/>
        <v>0</v>
      </c>
      <c r="T65" s="238">
        <f t="shared" si="27"/>
        <v>1.4698545197048616</v>
      </c>
      <c r="U65" s="238">
        <f t="shared" si="27"/>
        <v>1.3480394805024958</v>
      </c>
      <c r="V65" s="238">
        <f t="shared" si="27"/>
        <v>1.4650524217262393</v>
      </c>
    </row>
    <row r="66" spans="2:25">
      <c r="Y66">
        <v>1005</v>
      </c>
    </row>
    <row r="69" spans="2:25">
      <c r="B69" s="231"/>
      <c r="C69" s="231"/>
      <c r="D69" s="231"/>
      <c r="E69" s="232"/>
      <c r="F69" s="231"/>
      <c r="G69" s="231"/>
    </row>
    <row r="70" spans="2:25">
      <c r="B70" s="231"/>
      <c r="C70" s="231"/>
      <c r="D70" s="231"/>
      <c r="E70" s="232"/>
      <c r="F70" s="231"/>
      <c r="G70" s="231"/>
    </row>
    <row r="71" spans="2:25">
      <c r="B71" s="231"/>
      <c r="C71" s="231"/>
      <c r="D71" s="231"/>
      <c r="E71" s="232"/>
      <c r="F71" s="231"/>
      <c r="G71" s="231"/>
    </row>
    <row r="72" spans="2:25">
      <c r="B72" s="231"/>
      <c r="C72" s="231"/>
      <c r="D72" s="231"/>
      <c r="E72" s="232"/>
      <c r="F72" s="231"/>
      <c r="G72" s="231"/>
    </row>
    <row r="73" spans="2:25">
      <c r="B73" s="231"/>
      <c r="C73" s="231"/>
      <c r="D73" s="231"/>
      <c r="E73" s="232"/>
      <c r="F73" s="231"/>
      <c r="G73" s="231"/>
    </row>
    <row r="74" spans="2:25">
      <c r="B74" s="231"/>
      <c r="C74" s="231"/>
      <c r="D74" s="231"/>
      <c r="E74" s="232"/>
      <c r="F74" s="231"/>
      <c r="G74" s="231"/>
    </row>
    <row r="75" spans="2:25">
      <c r="B75" s="231"/>
      <c r="C75" s="231"/>
      <c r="D75" s="231"/>
      <c r="E75" s="232"/>
      <c r="F75" s="231"/>
      <c r="G75" s="231"/>
    </row>
    <row r="76" spans="2:25">
      <c r="B76" s="231"/>
      <c r="C76" s="231"/>
      <c r="D76" s="231"/>
      <c r="E76" s="232"/>
      <c r="F76" s="231"/>
      <c r="G76" s="231"/>
    </row>
    <row r="77" spans="2:25">
      <c r="B77" s="231"/>
      <c r="C77" s="231"/>
      <c r="D77" s="231"/>
      <c r="E77" s="232"/>
      <c r="F77" s="231"/>
      <c r="G77" s="231"/>
    </row>
    <row r="78" spans="2:25">
      <c r="B78" s="231"/>
      <c r="C78" s="231"/>
      <c r="D78" s="231"/>
      <c r="E78" s="232"/>
      <c r="F78" s="231"/>
      <c r="G78" s="231"/>
    </row>
    <row r="79" spans="2:25">
      <c r="B79" s="231"/>
      <c r="C79" s="231"/>
      <c r="D79" s="231"/>
      <c r="E79" s="232"/>
      <c r="F79" s="231"/>
      <c r="G79" s="231"/>
    </row>
    <row r="80" spans="2:25">
      <c r="B80" s="231"/>
      <c r="C80" s="231"/>
      <c r="D80" s="231"/>
      <c r="E80" s="232"/>
      <c r="F80" s="231"/>
      <c r="G80" s="231"/>
    </row>
    <row r="81" spans="2:7">
      <c r="B81" s="231"/>
      <c r="C81" s="231"/>
      <c r="D81" s="231"/>
      <c r="E81" s="232"/>
      <c r="F81" s="231"/>
      <c r="G81" s="231"/>
    </row>
    <row r="82" spans="2:7">
      <c r="B82" s="231"/>
      <c r="C82" s="231"/>
      <c r="D82" s="231"/>
      <c r="E82" s="232"/>
      <c r="F82" s="231"/>
      <c r="G82" s="231"/>
    </row>
    <row r="83" spans="2:7">
      <c r="B83" s="231"/>
      <c r="C83" s="231"/>
      <c r="D83" s="231"/>
      <c r="E83" s="232"/>
      <c r="F83" s="231"/>
      <c r="G83" s="231"/>
    </row>
    <row r="84" spans="2:7">
      <c r="B84" s="231"/>
      <c r="C84" s="231"/>
      <c r="D84" s="231"/>
      <c r="E84" s="232"/>
      <c r="F84" s="231"/>
      <c r="G84" s="231"/>
    </row>
  </sheetData>
  <mergeCells count="12">
    <mergeCell ref="N44:S44"/>
    <mergeCell ref="W44:Y44"/>
    <mergeCell ref="N45:P45"/>
    <mergeCell ref="Q45:S45"/>
    <mergeCell ref="T45:V45"/>
    <mergeCell ref="W45:Y45"/>
    <mergeCell ref="N17:P17"/>
    <mergeCell ref="Q17:S17"/>
    <mergeCell ref="T17:V17"/>
    <mergeCell ref="W16:Y16"/>
    <mergeCell ref="W17:Y17"/>
    <mergeCell ref="N16:S16"/>
  </mergeCells>
  <pageMargins left="0.7" right="0.7" top="0.75" bottom="0.75" header="0.3" footer="0.3"/>
  <drawing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54B3C0-6BD2-DB49-A30B-8E0A2BA6470C}">
  <sheetPr codeName="Sheet10"/>
  <dimension ref="A1:Y34"/>
  <sheetViews>
    <sheetView zoomScale="131" zoomScaleNormal="131" workbookViewId="0">
      <selection activeCell="M31" sqref="M31:O31"/>
    </sheetView>
  </sheetViews>
  <sheetFormatPr baseColWidth="10" defaultColWidth="10.83203125" defaultRowHeight="16"/>
  <cols>
    <col min="1" max="1" width="25.6640625" style="6" customWidth="1"/>
    <col min="2" max="2" width="16.83203125" style="6" customWidth="1"/>
    <col min="3" max="3" width="15" style="6" customWidth="1"/>
    <col min="4" max="4" width="12.33203125" style="6" customWidth="1"/>
    <col min="5" max="5" width="15.6640625" style="6" customWidth="1"/>
    <col min="6" max="16384" width="10.83203125" style="6"/>
  </cols>
  <sheetData>
    <row r="1" spans="1:24" s="4" customFormat="1" ht="28" customHeight="1">
      <c r="A1" s="4" t="s">
        <v>90</v>
      </c>
      <c r="G1" s="51" t="s">
        <v>113</v>
      </c>
    </row>
    <row r="2" spans="1:24">
      <c r="A2" s="2" t="s">
        <v>14</v>
      </c>
      <c r="B2" s="2" t="s">
        <v>15</v>
      </c>
      <c r="C2" s="48" t="s">
        <v>16</v>
      </c>
      <c r="D2" s="2" t="s">
        <v>18</v>
      </c>
      <c r="E2" s="2" t="s">
        <v>19</v>
      </c>
    </row>
    <row r="3" spans="1:24">
      <c r="A3" s="1" t="s">
        <v>107</v>
      </c>
      <c r="B3" s="15">
        <f>M31</f>
        <v>3.5319878628902117E-2</v>
      </c>
      <c r="C3" s="15">
        <f>M33</f>
        <v>2.2819259225901729E-2</v>
      </c>
      <c r="D3" s="15">
        <f>P31</f>
        <v>6.8559041520399683E-2</v>
      </c>
    </row>
    <row r="4" spans="1:24">
      <c r="A4" s="1" t="s">
        <v>108</v>
      </c>
      <c r="B4" s="15">
        <f>M31</f>
        <v>3.5319878628902117E-2</v>
      </c>
      <c r="C4" s="15">
        <f>M33</f>
        <v>2.2819259225901729E-2</v>
      </c>
      <c r="D4" s="15">
        <f>1-D3</f>
        <v>0.93144095847960029</v>
      </c>
      <c r="F4" s="5"/>
    </row>
    <row r="5" spans="1:24">
      <c r="A5" s="1" t="s">
        <v>109</v>
      </c>
      <c r="B5" s="15">
        <f>N31</f>
        <v>0.24251724922409285</v>
      </c>
      <c r="C5" s="15">
        <f>N33</f>
        <v>4.4529556333191653E-2</v>
      </c>
      <c r="D5" s="15">
        <f>Q31</f>
        <v>0.93171620729658622</v>
      </c>
    </row>
    <row r="6" spans="1:24">
      <c r="A6" s="1" t="s">
        <v>110</v>
      </c>
      <c r="B6" s="15">
        <f>N31</f>
        <v>0.24251724922409285</v>
      </c>
      <c r="C6" s="15">
        <f>N33</f>
        <v>4.4529556333191653E-2</v>
      </c>
      <c r="D6" s="15">
        <f>1-D5</f>
        <v>6.8283792703413781E-2</v>
      </c>
    </row>
    <row r="7" spans="1:24">
      <c r="A7" s="1" t="s">
        <v>111</v>
      </c>
      <c r="B7" s="15">
        <f>O31</f>
        <v>0.5461196911931081</v>
      </c>
      <c r="C7" s="15">
        <f>O33</f>
        <v>2.2638490418774231E-2</v>
      </c>
      <c r="D7" s="49">
        <v>1</v>
      </c>
    </row>
    <row r="9" spans="1:24">
      <c r="A9" s="5" t="s">
        <v>91</v>
      </c>
      <c r="B9" s="6" t="s">
        <v>93</v>
      </c>
    </row>
    <row r="10" spans="1:24">
      <c r="A10" s="5" t="s">
        <v>94</v>
      </c>
      <c r="B10" s="7" t="s">
        <v>120</v>
      </c>
    </row>
    <row r="11" spans="1:24">
      <c r="A11" s="5" t="s">
        <v>118</v>
      </c>
      <c r="B11" s="56" t="s">
        <v>119</v>
      </c>
    </row>
    <row r="13" spans="1:24">
      <c r="B13" s="8" t="s">
        <v>78</v>
      </c>
      <c r="C13" s="9"/>
      <c r="D13" s="9"/>
      <c r="E13" s="9"/>
      <c r="F13" s="9"/>
      <c r="G13" s="9"/>
      <c r="H13" s="9"/>
    </row>
    <row r="14" spans="1:24">
      <c r="A14" s="16" t="s">
        <v>97</v>
      </c>
      <c r="B14" s="10" t="s">
        <v>56</v>
      </c>
      <c r="C14" s="9"/>
      <c r="D14" s="9"/>
      <c r="E14" s="9"/>
      <c r="F14" s="9"/>
      <c r="G14" s="9"/>
      <c r="H14" s="9"/>
      <c r="J14" s="282" t="s">
        <v>98</v>
      </c>
      <c r="K14" s="282"/>
      <c r="L14" s="282"/>
      <c r="M14" s="282" t="s">
        <v>99</v>
      </c>
      <c r="N14" s="282"/>
      <c r="O14" s="282"/>
      <c r="P14" s="282"/>
      <c r="Q14" s="282"/>
      <c r="R14" s="282"/>
      <c r="S14" s="282" t="s">
        <v>102</v>
      </c>
      <c r="T14" s="282"/>
      <c r="U14" s="282"/>
      <c r="V14" s="282" t="s">
        <v>103</v>
      </c>
      <c r="W14" s="282"/>
      <c r="X14" s="282"/>
    </row>
    <row r="15" spans="1:24" ht="51">
      <c r="A15" s="20" t="s">
        <v>57</v>
      </c>
      <c r="B15" s="17" t="s">
        <v>95</v>
      </c>
      <c r="C15" s="22" t="s">
        <v>58</v>
      </c>
      <c r="D15" s="22" t="s">
        <v>59</v>
      </c>
      <c r="E15" s="22" t="s">
        <v>59</v>
      </c>
      <c r="F15" s="26" t="s">
        <v>60</v>
      </c>
      <c r="G15" s="26" t="s">
        <v>60</v>
      </c>
      <c r="H15" s="26" t="s">
        <v>60</v>
      </c>
      <c r="I15" s="18" t="s">
        <v>61</v>
      </c>
      <c r="J15" s="32" t="s">
        <v>58</v>
      </c>
      <c r="K15" s="32" t="s">
        <v>62</v>
      </c>
      <c r="L15" s="32" t="s">
        <v>63</v>
      </c>
      <c r="M15" s="279" t="s">
        <v>64</v>
      </c>
      <c r="N15" s="279"/>
      <c r="O15" s="279"/>
      <c r="P15" s="280" t="s">
        <v>65</v>
      </c>
      <c r="Q15" s="280"/>
      <c r="R15" s="280"/>
      <c r="S15" s="281" t="s">
        <v>66</v>
      </c>
      <c r="T15" s="281"/>
      <c r="U15" s="281"/>
      <c r="V15" s="283" t="s">
        <v>100</v>
      </c>
      <c r="W15" s="283"/>
      <c r="X15" s="283"/>
    </row>
    <row r="16" spans="1:24" ht="17">
      <c r="A16" s="20" t="s">
        <v>92</v>
      </c>
      <c r="B16" s="18" t="s">
        <v>96</v>
      </c>
      <c r="C16" s="22" t="s">
        <v>67</v>
      </c>
      <c r="D16" s="22" t="s">
        <v>68</v>
      </c>
      <c r="E16" s="22" t="s">
        <v>69</v>
      </c>
      <c r="F16" s="26" t="s">
        <v>67</v>
      </c>
      <c r="G16" s="26" t="s">
        <v>68</v>
      </c>
      <c r="H16" s="26" t="s">
        <v>69</v>
      </c>
      <c r="I16" s="30" t="s">
        <v>70</v>
      </c>
      <c r="J16" s="33" t="s">
        <v>67</v>
      </c>
      <c r="K16" s="33" t="s">
        <v>68</v>
      </c>
      <c r="L16" s="33" t="s">
        <v>69</v>
      </c>
      <c r="M16" s="35" t="s">
        <v>71</v>
      </c>
      <c r="N16" s="36" t="s">
        <v>72</v>
      </c>
      <c r="O16" s="36" t="s">
        <v>73</v>
      </c>
      <c r="P16" s="38" t="s">
        <v>74</v>
      </c>
      <c r="Q16" s="38" t="s">
        <v>75</v>
      </c>
      <c r="R16" s="39" t="s">
        <v>76</v>
      </c>
      <c r="S16" s="42" t="s">
        <v>67</v>
      </c>
      <c r="T16" s="42" t="s">
        <v>68</v>
      </c>
      <c r="U16" s="42" t="s">
        <v>69</v>
      </c>
      <c r="V16" s="44" t="s">
        <v>67</v>
      </c>
      <c r="W16" s="44" t="s">
        <v>68</v>
      </c>
      <c r="X16" s="44" t="s">
        <v>69</v>
      </c>
    </row>
    <row r="17" spans="1:25">
      <c r="A17" s="21">
        <v>2001</v>
      </c>
      <c r="B17" s="19">
        <v>10885</v>
      </c>
      <c r="C17" s="23">
        <v>2</v>
      </c>
      <c r="D17" s="23">
        <v>13</v>
      </c>
      <c r="E17" s="24">
        <v>0</v>
      </c>
      <c r="F17" s="27">
        <f>C17/SUM($C17:$E17)</f>
        <v>0.13333333333333333</v>
      </c>
      <c r="G17" s="27">
        <f>D17/SUM($C17:$E17)</f>
        <v>0.8666666666666667</v>
      </c>
      <c r="H17" s="27">
        <f>E17/SUM($C17:$E17)</f>
        <v>0</v>
      </c>
      <c r="I17" s="31">
        <v>2.5999999999999999E-3</v>
      </c>
      <c r="J17" s="34">
        <f t="shared" ref="J17:J30" si="0">($I17*$B17)*F17</f>
        <v>3.7734666666666663</v>
      </c>
      <c r="K17" s="34">
        <f>($I17*$B17)*G17</f>
        <v>24.527533333333334</v>
      </c>
      <c r="L17" s="34">
        <f t="shared" ref="L17:L30" si="1">($I17*$B17)*H17</f>
        <v>0</v>
      </c>
      <c r="M17" s="37">
        <v>8.5531953948727747E-3</v>
      </c>
      <c r="N17" s="37">
        <v>0.27326959576567916</v>
      </c>
      <c r="O17" s="37">
        <v>0.51921183135029614</v>
      </c>
      <c r="P17" s="40">
        <v>4.5382676938784436E-2</v>
      </c>
      <c r="Q17" s="40">
        <v>0.99974784608197576</v>
      </c>
      <c r="R17" s="41">
        <v>1</v>
      </c>
      <c r="S17" s="43">
        <f>(B17*M17)*P17</f>
        <v>4.2251967435069311</v>
      </c>
      <c r="T17" s="43">
        <f>B17*M17*(1-P17)*N17*Q17</f>
        <v>24.281076061341849</v>
      </c>
      <c r="U17" s="43">
        <f>B17*M17*(1-P17)*N17*(1-Q17)*O17</f>
        <v>3.1797117608709812E-3</v>
      </c>
      <c r="V17" s="45">
        <f>(J17-S17)^2</f>
        <v>0.20406006232211152</v>
      </c>
      <c r="W17" s="45">
        <f t="shared" ref="W17:X30" si="2">(K17-T17)^2</f>
        <v>6.074118691748473E-2</v>
      </c>
      <c r="X17" s="45">
        <f t="shared" si="2"/>
        <v>1.0110566882221237E-5</v>
      </c>
    </row>
    <row r="18" spans="1:25">
      <c r="A18" s="21">
        <v>2002</v>
      </c>
      <c r="B18" s="19">
        <v>8435</v>
      </c>
      <c r="C18" s="23">
        <v>11</v>
      </c>
      <c r="D18" s="23">
        <v>45</v>
      </c>
      <c r="E18" s="24">
        <v>1</v>
      </c>
      <c r="F18" s="27">
        <f t="shared" ref="F18:F30" si="3">C18/SUM($C18:$E18)</f>
        <v>0.19298245614035087</v>
      </c>
      <c r="G18" s="27">
        <f t="shared" ref="G18:G30" si="4">D18/SUM($C18:$E18)</f>
        <v>0.78947368421052633</v>
      </c>
      <c r="H18" s="27">
        <f t="shared" ref="H18:H30" si="5">E18/SUM($C18:$E18)</f>
        <v>1.7543859649122806E-2</v>
      </c>
      <c r="I18" s="31">
        <v>0.01</v>
      </c>
      <c r="J18" s="34">
        <f t="shared" si="0"/>
        <v>16.278070175438597</v>
      </c>
      <c r="K18" s="34">
        <f t="shared" ref="K18:K30" si="6">($I18*$B18)*G18</f>
        <v>66.592105263157904</v>
      </c>
      <c r="L18" s="34">
        <f t="shared" si="1"/>
        <v>1.4798245614035088</v>
      </c>
      <c r="M18" s="37">
        <v>3.4049741370579416E-2</v>
      </c>
      <c r="N18" s="37">
        <v>0.25599687999306631</v>
      </c>
      <c r="O18" s="37">
        <v>0.56353238929800453</v>
      </c>
      <c r="P18" s="40">
        <v>5.6875923350467289E-2</v>
      </c>
      <c r="Q18" s="40">
        <v>0.96329299547032654</v>
      </c>
      <c r="R18" s="41">
        <v>1</v>
      </c>
      <c r="S18" s="43">
        <f t="shared" ref="S18:S30" si="7">(B18*M18)*P18</f>
        <v>16.335309401299373</v>
      </c>
      <c r="T18" s="43">
        <f t="shared" ref="T18:T30" si="8">B18*M18*(1-P18)*N18*Q18</f>
        <v>66.797592652356911</v>
      </c>
      <c r="U18" s="43">
        <f t="shared" ref="U18:U30" si="9">B18*M18*(1-P18)*N18*(1-Q18)*O18</f>
        <v>1.4343998676085625</v>
      </c>
      <c r="V18" s="45">
        <f t="shared" ref="V18:V30" si="10">(J18-S18)^2</f>
        <v>3.2763289771409673E-3</v>
      </c>
      <c r="W18" s="45">
        <f t="shared" si="2"/>
        <v>4.2225067119824176E-2</v>
      </c>
      <c r="X18" s="45">
        <f t="shared" si="2"/>
        <v>2.063402806364632E-3</v>
      </c>
    </row>
    <row r="19" spans="1:25">
      <c r="A19" s="21">
        <v>2003</v>
      </c>
      <c r="B19" s="19">
        <v>7202</v>
      </c>
      <c r="C19" s="23">
        <v>5</v>
      </c>
      <c r="D19" s="23">
        <v>22</v>
      </c>
      <c r="E19" s="24">
        <v>0</v>
      </c>
      <c r="F19" s="27">
        <f t="shared" si="3"/>
        <v>0.18518518518518517</v>
      </c>
      <c r="G19" s="27">
        <f t="shared" si="4"/>
        <v>0.81481481481481477</v>
      </c>
      <c r="H19" s="27">
        <f t="shared" si="5"/>
        <v>0</v>
      </c>
      <c r="I19" s="31">
        <v>4.0000000000000001E-3</v>
      </c>
      <c r="J19" s="34">
        <f t="shared" si="0"/>
        <v>5.3348148148148145</v>
      </c>
      <c r="K19" s="34">
        <f t="shared" si="6"/>
        <v>23.473185185185184</v>
      </c>
      <c r="L19" s="34">
        <f t="shared" si="1"/>
        <v>0</v>
      </c>
      <c r="M19" s="37">
        <v>1.417256151977811E-2</v>
      </c>
      <c r="N19" s="37">
        <v>0.25154769720584708</v>
      </c>
      <c r="O19" s="37">
        <v>0.54639268868066171</v>
      </c>
      <c r="P19" s="40">
        <v>5.2360081624617263E-2</v>
      </c>
      <c r="Q19" s="40">
        <v>0.98042708984411375</v>
      </c>
      <c r="R19" s="41">
        <v>1</v>
      </c>
      <c r="S19" s="43">
        <f t="shared" si="7"/>
        <v>5.3444347945955499</v>
      </c>
      <c r="T19" s="43">
        <f t="shared" si="8"/>
        <v>23.855057243374187</v>
      </c>
      <c r="U19" s="43">
        <f t="shared" si="9"/>
        <v>0.26021087461269127</v>
      </c>
      <c r="V19" s="45">
        <f t="shared" si="10"/>
        <v>9.2544010981759393E-5</v>
      </c>
      <c r="W19" s="45">
        <f t="shared" si="2"/>
        <v>0.14582626882550559</v>
      </c>
      <c r="X19" s="45">
        <f t="shared" si="2"/>
        <v>6.7709699266701742E-2</v>
      </c>
    </row>
    <row r="20" spans="1:25">
      <c r="A20" s="21">
        <v>2004</v>
      </c>
      <c r="B20" s="19">
        <v>5348</v>
      </c>
      <c r="C20" s="23">
        <v>2</v>
      </c>
      <c r="D20" s="23">
        <v>17</v>
      </c>
      <c r="E20" s="24">
        <v>1</v>
      </c>
      <c r="F20" s="27">
        <f>C20/SUM($C20:$E20)</f>
        <v>0.1</v>
      </c>
      <c r="G20" s="27">
        <f t="shared" si="4"/>
        <v>0.85</v>
      </c>
      <c r="H20" s="27">
        <f t="shared" si="5"/>
        <v>0.05</v>
      </c>
      <c r="I20" s="31">
        <v>4.0000000000000001E-3</v>
      </c>
      <c r="J20" s="34">
        <f t="shared" si="0"/>
        <v>2.1392000000000002</v>
      </c>
      <c r="K20" s="34">
        <f t="shared" si="6"/>
        <v>18.183199999999999</v>
      </c>
      <c r="L20" s="34">
        <f t="shared" si="1"/>
        <v>1.0696000000000001</v>
      </c>
      <c r="M20" s="37">
        <v>1.506750134911434E-2</v>
      </c>
      <c r="N20" s="37">
        <v>0.25961548553213731</v>
      </c>
      <c r="O20" s="37">
        <v>0.56645130041773861</v>
      </c>
      <c r="P20" s="40">
        <v>5.0006284025690399E-2</v>
      </c>
      <c r="Q20" s="40">
        <v>0.89408405803756075</v>
      </c>
      <c r="R20" s="41">
        <v>1</v>
      </c>
      <c r="S20" s="43">
        <f t="shared" si="7"/>
        <v>4.0295562338098323</v>
      </c>
      <c r="T20" s="43">
        <f t="shared" si="8"/>
        <v>17.768972493922963</v>
      </c>
      <c r="U20" s="43">
        <f t="shared" si="9"/>
        <v>1.1923613084267703</v>
      </c>
      <c r="V20" s="45">
        <f t="shared" si="10"/>
        <v>3.5734466907036926</v>
      </c>
      <c r="W20" s="45">
        <f t="shared" si="2"/>
        <v>0.17158442679080141</v>
      </c>
      <c r="X20" s="45">
        <f t="shared" si="2"/>
        <v>1.5070338846652612E-2</v>
      </c>
    </row>
    <row r="21" spans="1:25">
      <c r="A21" s="21">
        <v>2005</v>
      </c>
      <c r="B21" s="19">
        <v>4848</v>
      </c>
      <c r="C21" s="23">
        <v>3</v>
      </c>
      <c r="D21" s="23">
        <v>15</v>
      </c>
      <c r="E21" s="24">
        <v>0</v>
      </c>
      <c r="F21" s="27">
        <f t="shared" si="3"/>
        <v>0.16666666666666666</v>
      </c>
      <c r="G21" s="27">
        <f t="shared" si="4"/>
        <v>0.83333333333333337</v>
      </c>
      <c r="H21" s="27">
        <f t="shared" si="5"/>
        <v>0</v>
      </c>
      <c r="I21" s="31">
        <v>4.7999999999999996E-3</v>
      </c>
      <c r="J21" s="34">
        <f t="shared" si="0"/>
        <v>3.8783999999999996</v>
      </c>
      <c r="K21" s="34">
        <f t="shared" si="6"/>
        <v>19.391999999999999</v>
      </c>
      <c r="L21" s="34">
        <f t="shared" si="1"/>
        <v>0</v>
      </c>
      <c r="M21" s="37">
        <v>1.7624571359099821E-2</v>
      </c>
      <c r="N21" s="37">
        <v>0.25207675056432965</v>
      </c>
      <c r="O21" s="37">
        <v>0.55407512778953194</v>
      </c>
      <c r="P21" s="40">
        <v>5.6460984689955286E-2</v>
      </c>
      <c r="Q21" s="40">
        <v>0.94188491971971455</v>
      </c>
      <c r="R21" s="41">
        <v>1</v>
      </c>
      <c r="S21" s="43">
        <f t="shared" si="7"/>
        <v>4.8242479690074767</v>
      </c>
      <c r="T21" s="43">
        <f t="shared" si="8"/>
        <v>19.141310711192865</v>
      </c>
      <c r="U21" s="43">
        <f t="shared" si="9"/>
        <v>0.65438197294799305</v>
      </c>
      <c r="V21" s="45">
        <f t="shared" si="10"/>
        <v>0.89462838047556925</v>
      </c>
      <c r="W21" s="45">
        <f t="shared" si="2"/>
        <v>6.2845119522626711E-2</v>
      </c>
      <c r="X21" s="45">
        <f t="shared" si="2"/>
        <v>0.42821576651930793</v>
      </c>
    </row>
    <row r="22" spans="1:25" ht="20">
      <c r="A22" s="21" t="s">
        <v>79</v>
      </c>
      <c r="B22" s="19">
        <v>4289</v>
      </c>
      <c r="C22" s="23">
        <v>10</v>
      </c>
      <c r="D22" s="23">
        <v>36</v>
      </c>
      <c r="E22" s="24">
        <v>0</v>
      </c>
      <c r="F22" s="27">
        <f t="shared" si="3"/>
        <v>0.21739130434782608</v>
      </c>
      <c r="G22" s="27">
        <f t="shared" si="4"/>
        <v>0.78260869565217395</v>
      </c>
      <c r="H22" s="27">
        <f t="shared" si="5"/>
        <v>0</v>
      </c>
      <c r="I22" s="31">
        <v>6.1000000000000004E-3</v>
      </c>
      <c r="J22" s="34">
        <f t="shared" si="0"/>
        <v>5.6875869565217387</v>
      </c>
      <c r="K22" s="34">
        <f t="shared" si="6"/>
        <v>20.475313043478263</v>
      </c>
      <c r="L22" s="34">
        <f t="shared" si="1"/>
        <v>0</v>
      </c>
      <c r="M22" s="37">
        <v>2.20417280793767E-2</v>
      </c>
      <c r="N22" s="37">
        <v>0.24364208537352902</v>
      </c>
      <c r="O22" s="37">
        <v>0.55150716269940792</v>
      </c>
      <c r="P22" s="40">
        <v>6.3080019077206895E-2</v>
      </c>
      <c r="Q22" s="40">
        <v>0.94449850939123958</v>
      </c>
      <c r="R22" s="41">
        <v>1</v>
      </c>
      <c r="S22" s="43">
        <f t="shared" si="7"/>
        <v>5.9633939803841045</v>
      </c>
      <c r="T22" s="43">
        <f t="shared" si="8"/>
        <v>20.38251508361132</v>
      </c>
      <c r="U22" s="43">
        <f t="shared" si="9"/>
        <v>0.66056004307964944</v>
      </c>
      <c r="V22" s="45">
        <f t="shared" si="10"/>
        <v>7.60695144118156E-2</v>
      </c>
      <c r="W22" s="45">
        <f t="shared" si="2"/>
        <v>8.6114613554666517E-3</v>
      </c>
      <c r="X22" s="45">
        <f t="shared" si="2"/>
        <v>0.43633957051338834</v>
      </c>
    </row>
    <row r="23" spans="1:25" ht="20">
      <c r="A23" s="21" t="s">
        <v>80</v>
      </c>
      <c r="B23" s="19">
        <v>4695</v>
      </c>
      <c r="C23" s="23">
        <v>26</v>
      </c>
      <c r="D23" s="23">
        <v>32</v>
      </c>
      <c r="E23" s="24">
        <v>0</v>
      </c>
      <c r="F23" s="27">
        <f t="shared" si="3"/>
        <v>0.44827586206896552</v>
      </c>
      <c r="G23" s="27">
        <f t="shared" si="4"/>
        <v>0.55172413793103448</v>
      </c>
      <c r="H23" s="27">
        <f t="shared" si="5"/>
        <v>0</v>
      </c>
      <c r="I23" s="31">
        <v>8.3000000000000001E-3</v>
      </c>
      <c r="J23" s="34">
        <f t="shared" si="0"/>
        <v>17.468637931034483</v>
      </c>
      <c r="K23" s="34">
        <f t="shared" si="6"/>
        <v>21.499862068965516</v>
      </c>
      <c r="L23" s="34">
        <f t="shared" si="1"/>
        <v>0</v>
      </c>
      <c r="M23" s="37">
        <v>3.8346091893686853E-2</v>
      </c>
      <c r="N23" s="37">
        <v>0.14635872901337435</v>
      </c>
      <c r="O23" s="37">
        <v>0.50712388105413353</v>
      </c>
      <c r="P23" s="40">
        <v>9.7996385762631449E-2</v>
      </c>
      <c r="Q23" s="40">
        <v>0.8987823180070702</v>
      </c>
      <c r="R23" s="41">
        <v>1</v>
      </c>
      <c r="S23" s="43">
        <f t="shared" si="7"/>
        <v>17.642769652335829</v>
      </c>
      <c r="T23" s="43">
        <f t="shared" si="8"/>
        <v>21.361814145221036</v>
      </c>
      <c r="U23" s="43">
        <f t="shared" si="9"/>
        <v>1.2199837952598687</v>
      </c>
      <c r="V23" s="45">
        <f t="shared" si="10"/>
        <v>3.0321856363369877E-2</v>
      </c>
      <c r="W23" s="45">
        <f t="shared" si="2"/>
        <v>1.9057229250161841E-2</v>
      </c>
      <c r="X23" s="45">
        <f t="shared" si="2"/>
        <v>1.4883604606966732</v>
      </c>
    </row>
    <row r="24" spans="1:25" ht="20">
      <c r="A24" s="21" t="s">
        <v>81</v>
      </c>
      <c r="B24" s="19">
        <v>6605</v>
      </c>
      <c r="C24" s="23">
        <v>71</v>
      </c>
      <c r="D24" s="23">
        <v>185</v>
      </c>
      <c r="E24" s="24">
        <v>6</v>
      </c>
      <c r="F24" s="27">
        <f t="shared" si="3"/>
        <v>0.27099236641221375</v>
      </c>
      <c r="G24" s="27">
        <f t="shared" si="4"/>
        <v>0.70610687022900764</v>
      </c>
      <c r="H24" s="27">
        <f t="shared" si="5"/>
        <v>2.2900763358778626E-2</v>
      </c>
      <c r="I24" s="31">
        <v>2.9499999999999998E-2</v>
      </c>
      <c r="J24" s="34">
        <f t="shared" si="0"/>
        <v>52.802185114503814</v>
      </c>
      <c r="K24" s="34">
        <f t="shared" si="6"/>
        <v>137.58315839694657</v>
      </c>
      <c r="L24" s="34">
        <f t="shared" si="1"/>
        <v>4.4621564885496179</v>
      </c>
      <c r="M24" s="37">
        <v>8.65215629832045E-2</v>
      </c>
      <c r="N24" s="37">
        <v>0.28011320046830884</v>
      </c>
      <c r="O24" s="37">
        <v>0.5822814797860818</v>
      </c>
      <c r="P24" s="40">
        <v>9.2371035012899755E-2</v>
      </c>
      <c r="Q24" s="40">
        <v>0.94703034523282514</v>
      </c>
      <c r="R24" s="41">
        <v>1</v>
      </c>
      <c r="S24" s="43">
        <f t="shared" si="7"/>
        <v>52.787730167988265</v>
      </c>
      <c r="T24" s="43">
        <f t="shared" si="8"/>
        <v>137.59510878278681</v>
      </c>
      <c r="U24" s="43">
        <f t="shared" si="9"/>
        <v>4.4812504873230781</v>
      </c>
      <c r="V24" s="45">
        <f t="shared" si="10"/>
        <v>2.0894547876738908E-4</v>
      </c>
      <c r="W24" s="45">
        <f t="shared" si="2"/>
        <v>1.4281172173053166E-4</v>
      </c>
      <c r="X24" s="45">
        <f t="shared" si="2"/>
        <v>3.645807891608991E-4</v>
      </c>
    </row>
    <row r="25" spans="1:25" ht="20">
      <c r="A25" s="21" t="s">
        <v>82</v>
      </c>
      <c r="B25" s="19">
        <v>5381</v>
      </c>
      <c r="C25" s="23">
        <v>17</v>
      </c>
      <c r="D25" s="23">
        <v>113</v>
      </c>
      <c r="E25" s="24">
        <v>3</v>
      </c>
      <c r="F25" s="27">
        <f t="shared" si="3"/>
        <v>0.12781954887218044</v>
      </c>
      <c r="G25" s="27">
        <f t="shared" si="4"/>
        <v>0.84962406015037595</v>
      </c>
      <c r="H25" s="27">
        <f t="shared" si="5"/>
        <v>2.2556390977443608E-2</v>
      </c>
      <c r="I25" s="31">
        <v>1.7999999999999999E-2</v>
      </c>
      <c r="J25" s="34">
        <f t="shared" si="0"/>
        <v>12.380345864661653</v>
      </c>
      <c r="K25" s="34">
        <f t="shared" si="6"/>
        <v>82.292887218045109</v>
      </c>
      <c r="L25" s="34">
        <f t="shared" si="1"/>
        <v>2.1847669172932327</v>
      </c>
      <c r="M25" s="37">
        <v>5.3091502761650228E-2</v>
      </c>
      <c r="N25" s="37">
        <v>0.31398694319065362</v>
      </c>
      <c r="O25" s="37">
        <v>0.57592636329898284</v>
      </c>
      <c r="P25" s="40">
        <v>4.5014722649036526E-2</v>
      </c>
      <c r="Q25" s="40">
        <v>0.95947126438222252</v>
      </c>
      <c r="R25" s="41">
        <v>1</v>
      </c>
      <c r="S25" s="43">
        <f t="shared" si="7"/>
        <v>12.860047981750817</v>
      </c>
      <c r="T25" s="43">
        <f t="shared" si="8"/>
        <v>82.191753855660068</v>
      </c>
      <c r="U25" s="43">
        <f t="shared" si="9"/>
        <v>1.9995224728985206</v>
      </c>
      <c r="V25" s="45">
        <f t="shared" si="10"/>
        <v>0.23011412113982663</v>
      </c>
      <c r="W25" s="45">
        <f t="shared" si="2"/>
        <v>1.0227956987304207E-2</v>
      </c>
      <c r="X25" s="45">
        <f t="shared" si="2"/>
        <v>3.4315504179105588E-2</v>
      </c>
    </row>
    <row r="26" spans="1:25" ht="20">
      <c r="A26" s="21" t="s">
        <v>83</v>
      </c>
      <c r="B26" s="19">
        <v>6329</v>
      </c>
      <c r="C26" s="23">
        <v>59</v>
      </c>
      <c r="D26" s="23">
        <v>71</v>
      </c>
      <c r="E26" s="24">
        <v>3</v>
      </c>
      <c r="F26" s="27">
        <f t="shared" si="3"/>
        <v>0.44360902255639095</v>
      </c>
      <c r="G26" s="27">
        <f t="shared" si="4"/>
        <v>0.53383458646616544</v>
      </c>
      <c r="H26" s="27">
        <f t="shared" si="5"/>
        <v>2.2556390977443608E-2</v>
      </c>
      <c r="I26" s="31">
        <v>1.55E-2</v>
      </c>
      <c r="J26" s="34">
        <f t="shared" si="0"/>
        <v>43.517823308270678</v>
      </c>
      <c r="K26" s="34">
        <f t="shared" si="6"/>
        <v>52.368906015037602</v>
      </c>
      <c r="L26" s="34">
        <f t="shared" si="1"/>
        <v>2.2127706766917292</v>
      </c>
      <c r="M26" s="37">
        <v>6.2579840532939399E-2</v>
      </c>
      <c r="N26" s="37">
        <v>0.16167187378180575</v>
      </c>
      <c r="O26" s="37">
        <v>0.5214957578265651</v>
      </c>
      <c r="P26" s="40">
        <v>0.10984714453937078</v>
      </c>
      <c r="Q26" s="40">
        <v>0.92216813704882528</v>
      </c>
      <c r="R26" s="41">
        <v>1</v>
      </c>
      <c r="S26" s="43">
        <f t="shared" si="7"/>
        <v>43.506918052977085</v>
      </c>
      <c r="T26" s="43">
        <f t="shared" si="8"/>
        <v>52.562827764638264</v>
      </c>
      <c r="U26" s="43">
        <f t="shared" si="9"/>
        <v>2.3135389448933759</v>
      </c>
      <c r="V26" s="45">
        <f t="shared" si="10"/>
        <v>1.1892459301844995E-4</v>
      </c>
      <c r="W26" s="45">
        <f t="shared" si="2"/>
        <v>3.7605644968181855E-2</v>
      </c>
      <c r="X26" s="45">
        <f t="shared" si="2"/>
        <v>1.0154243876358989E-2</v>
      </c>
    </row>
    <row r="27" spans="1:25" ht="20">
      <c r="A27" s="21" t="s">
        <v>84</v>
      </c>
      <c r="B27" s="19">
        <v>4366</v>
      </c>
      <c r="C27" s="23">
        <v>4</v>
      </c>
      <c r="D27" s="23">
        <v>26</v>
      </c>
      <c r="E27" s="24">
        <v>1</v>
      </c>
      <c r="F27" s="27">
        <f t="shared" si="3"/>
        <v>0.12903225806451613</v>
      </c>
      <c r="G27" s="27">
        <f t="shared" si="4"/>
        <v>0.83870967741935487</v>
      </c>
      <c r="H27" s="27">
        <f t="shared" si="5"/>
        <v>3.2258064516129031E-2</v>
      </c>
      <c r="I27" s="31">
        <v>5.0000000000000001E-3</v>
      </c>
      <c r="J27" s="34">
        <f t="shared" si="0"/>
        <v>2.8167741935483872</v>
      </c>
      <c r="K27" s="34">
        <f t="shared" si="6"/>
        <v>18.309032258064519</v>
      </c>
      <c r="L27" s="34">
        <f t="shared" si="1"/>
        <v>0.7041935483870968</v>
      </c>
      <c r="M27" s="37">
        <v>1.8684472204849253E-2</v>
      </c>
      <c r="N27" s="37">
        <v>0.25371609429201208</v>
      </c>
      <c r="O27" s="37">
        <v>0.554606379608091</v>
      </c>
      <c r="P27" s="40">
        <v>5.6918314218953658E-2</v>
      </c>
      <c r="Q27" s="40">
        <v>0.90887667520106497</v>
      </c>
      <c r="R27" s="41">
        <v>1</v>
      </c>
      <c r="S27" s="43">
        <f t="shared" si="7"/>
        <v>4.6431914894330175</v>
      </c>
      <c r="T27" s="43">
        <f t="shared" si="8"/>
        <v>17.740540706310025</v>
      </c>
      <c r="U27" s="43">
        <f t="shared" si="9"/>
        <v>0.98645280611079345</v>
      </c>
      <c r="V27" s="45">
        <f t="shared" si="10"/>
        <v>3.3358001387065253</v>
      </c>
      <c r="W27" s="45">
        <f t="shared" si="2"/>
        <v>0.32318264441623296</v>
      </c>
      <c r="X27" s="45">
        <f t="shared" si="2"/>
        <v>7.9670288570732203E-2</v>
      </c>
    </row>
    <row r="28" spans="1:25" ht="20">
      <c r="A28" s="21" t="s">
        <v>85</v>
      </c>
      <c r="B28" s="19">
        <v>3615</v>
      </c>
      <c r="C28" s="23">
        <v>18</v>
      </c>
      <c r="D28" s="23">
        <v>37</v>
      </c>
      <c r="E28" s="24">
        <v>1</v>
      </c>
      <c r="F28" s="27">
        <f t="shared" si="3"/>
        <v>0.32142857142857145</v>
      </c>
      <c r="G28" s="27">
        <f t="shared" si="4"/>
        <v>0.6607142857142857</v>
      </c>
      <c r="H28" s="27">
        <f t="shared" si="5"/>
        <v>1.7857142857142856E-2</v>
      </c>
      <c r="I28" s="31">
        <v>9.4000000000000004E-3</v>
      </c>
      <c r="J28" s="34">
        <f t="shared" si="0"/>
        <v>10.922464285714288</v>
      </c>
      <c r="K28" s="34">
        <f t="shared" si="6"/>
        <v>22.451732142857143</v>
      </c>
      <c r="L28" s="34">
        <f t="shared" si="1"/>
        <v>0.60680357142857144</v>
      </c>
      <c r="M28" s="37">
        <v>3.5688559571832194E-2</v>
      </c>
      <c r="N28" s="37">
        <v>0.2086651401913128</v>
      </c>
      <c r="O28" s="37">
        <v>0.53703467425512608</v>
      </c>
      <c r="P28" s="40">
        <v>8.3507508679154893E-2</v>
      </c>
      <c r="Q28" s="40">
        <v>0.90931277443694469</v>
      </c>
      <c r="R28" s="41">
        <v>1</v>
      </c>
      <c r="S28" s="43">
        <f t="shared" si="7"/>
        <v>10.773649653961598</v>
      </c>
      <c r="T28" s="43">
        <f t="shared" si="8"/>
        <v>22.435173182533191</v>
      </c>
      <c r="U28" s="43">
        <f t="shared" si="9"/>
        <v>1.2016128855423223</v>
      </c>
      <c r="V28" s="45">
        <f t="shared" si="10"/>
        <v>2.2145794623688448E-2</v>
      </c>
      <c r="W28" s="45">
        <f t="shared" si="2"/>
        <v>2.7419916701020876E-4</v>
      </c>
      <c r="X28" s="45">
        <f t="shared" si="2"/>
        <v>0.35379812015647066</v>
      </c>
    </row>
    <row r="29" spans="1:25" ht="20">
      <c r="A29" s="21" t="s">
        <v>86</v>
      </c>
      <c r="B29" s="19">
        <v>3209</v>
      </c>
      <c r="C29" s="23">
        <v>20</v>
      </c>
      <c r="D29" s="23">
        <v>59</v>
      </c>
      <c r="E29" s="24">
        <v>1</v>
      </c>
      <c r="F29" s="27">
        <f t="shared" si="3"/>
        <v>0.25</v>
      </c>
      <c r="G29" s="27">
        <f t="shared" si="4"/>
        <v>0.73750000000000004</v>
      </c>
      <c r="H29" s="27">
        <f t="shared" si="5"/>
        <v>1.2500000000000001E-2</v>
      </c>
      <c r="I29" s="31">
        <v>1.8700000000000001E-2</v>
      </c>
      <c r="J29" s="34">
        <f t="shared" si="0"/>
        <v>15.002075000000001</v>
      </c>
      <c r="K29" s="34">
        <f t="shared" si="6"/>
        <v>44.256121250000007</v>
      </c>
      <c r="L29" s="34">
        <f t="shared" si="1"/>
        <v>0.75010375000000007</v>
      </c>
      <c r="M29" s="37">
        <v>6.1148841832005335E-2</v>
      </c>
      <c r="N29" s="37">
        <v>0.26406469737520921</v>
      </c>
      <c r="O29" s="37">
        <v>0.54543889521550859</v>
      </c>
      <c r="P29" s="40">
        <v>7.6461636989470866E-2</v>
      </c>
      <c r="Q29" s="40">
        <v>0.92541940025244307</v>
      </c>
      <c r="R29" s="41">
        <v>1</v>
      </c>
      <c r="S29" s="43">
        <f t="shared" si="7"/>
        <v>15.003809613671528</v>
      </c>
      <c r="T29" s="43">
        <f t="shared" si="8"/>
        <v>44.285529081479766</v>
      </c>
      <c r="U29" s="43">
        <f t="shared" si="9"/>
        <v>1.9466828981918443</v>
      </c>
      <c r="V29" s="45">
        <f t="shared" si="10"/>
        <v>3.0088845894477895E-6</v>
      </c>
      <c r="W29" s="45">
        <f t="shared" si="2"/>
        <v>8.6482055234189171E-4</v>
      </c>
      <c r="X29" s="45">
        <f t="shared" si="2"/>
        <v>1.4318016578875195</v>
      </c>
    </row>
    <row r="30" spans="1:25" ht="20">
      <c r="A30" s="21" t="s">
        <v>87</v>
      </c>
      <c r="B30" s="19">
        <v>3834</v>
      </c>
      <c r="C30" s="23">
        <v>7</v>
      </c>
      <c r="D30" s="23">
        <v>19</v>
      </c>
      <c r="E30" s="25">
        <f>SUM(E17:E29)/SUM(D17:D29)*D30</f>
        <v>0.48137108792846495</v>
      </c>
      <c r="F30" s="28">
        <f t="shared" si="3"/>
        <v>0.26433676627834995</v>
      </c>
      <c r="G30" s="28">
        <f t="shared" si="4"/>
        <v>0.71748550846980697</v>
      </c>
      <c r="H30" s="28">
        <f t="shared" si="5"/>
        <v>1.8177725251843097E-2</v>
      </c>
      <c r="I30" s="31">
        <f>SUM(C30:E30)/B30</f>
        <v>6.9069825477121715E-3</v>
      </c>
      <c r="J30" s="34">
        <f t="shared" si="0"/>
        <v>7.0000000000000009</v>
      </c>
      <c r="K30" s="34">
        <f t="shared" si="6"/>
        <v>19</v>
      </c>
      <c r="L30" s="34">
        <f t="shared" si="1"/>
        <v>0.481371087928465</v>
      </c>
      <c r="M30" s="37">
        <v>2.690812995164063E-2</v>
      </c>
      <c r="N30" s="37">
        <v>0.23051631639003492</v>
      </c>
      <c r="O30" s="37">
        <v>0.52059774542338377</v>
      </c>
      <c r="P30" s="40">
        <v>7.3543863727355954E-2</v>
      </c>
      <c r="Q30" s="40">
        <v>0.84903056904588081</v>
      </c>
      <c r="R30" s="41">
        <v>1</v>
      </c>
      <c r="S30" s="43">
        <f t="shared" si="7"/>
        <v>7.5872093474604148</v>
      </c>
      <c r="T30" s="43">
        <f t="shared" si="8"/>
        <v>18.706196206536013</v>
      </c>
      <c r="U30" s="43">
        <f t="shared" si="9"/>
        <v>1.7316234527370504</v>
      </c>
      <c r="V30" s="45">
        <f t="shared" si="10"/>
        <v>0.34481481774488504</v>
      </c>
      <c r="W30" s="45">
        <f t="shared" si="2"/>
        <v>8.6320669053828861E-2</v>
      </c>
      <c r="X30" s="45">
        <f t="shared" si="2"/>
        <v>1.5631309757094602</v>
      </c>
    </row>
    <row r="31" spans="1:25">
      <c r="B31" s="285" t="s">
        <v>77</v>
      </c>
      <c r="C31" s="285"/>
      <c r="D31" s="285"/>
      <c r="E31" s="285"/>
      <c r="F31" s="88">
        <f>AVERAGE(F17:F30)</f>
        <v>0.2322180958110393</v>
      </c>
      <c r="G31" s="88">
        <f>AVERAGE(G17:G30)</f>
        <v>0.75232830864696765</v>
      </c>
      <c r="H31" s="88">
        <f>AVERAGE(H17:H30)</f>
        <v>1.5453595541993118E-2</v>
      </c>
      <c r="I31" s="15"/>
      <c r="L31" s="47" t="s">
        <v>104</v>
      </c>
      <c r="M31" s="12">
        <f t="shared" ref="M31:R31" si="11">AVERAGE(M17:M30)</f>
        <v>3.5319878628902117E-2</v>
      </c>
      <c r="N31" s="12">
        <f t="shared" si="11"/>
        <v>0.24251724922409285</v>
      </c>
      <c r="O31" s="12">
        <f t="shared" si="11"/>
        <v>0.5461196911931081</v>
      </c>
      <c r="P31" s="12">
        <f t="shared" si="11"/>
        <v>6.8559041520399683E-2</v>
      </c>
      <c r="Q31" s="12">
        <f t="shared" si="11"/>
        <v>0.93171620729658622</v>
      </c>
      <c r="R31" s="12">
        <f t="shared" si="11"/>
        <v>1</v>
      </c>
    </row>
    <row r="32" spans="1:25" ht="21">
      <c r="B32" s="13" t="s">
        <v>88</v>
      </c>
      <c r="F32" s="14"/>
      <c r="G32" s="14"/>
      <c r="H32" s="14"/>
      <c r="I32" s="11"/>
      <c r="L32" s="47" t="s">
        <v>105</v>
      </c>
      <c r="M32" s="12">
        <f t="shared" ref="M32:R32" si="12">MEDIAN(M17:M30)</f>
        <v>3.0478935661110023E-2</v>
      </c>
      <c r="N32" s="12">
        <f t="shared" si="12"/>
        <v>0.2528964224281709</v>
      </c>
      <c r="O32" s="12">
        <f t="shared" si="12"/>
        <v>0.54894992569003476</v>
      </c>
      <c r="P32" s="12">
        <f t="shared" si="12"/>
        <v>5.9999166648080277E-2</v>
      </c>
      <c r="Q32" s="12">
        <f t="shared" si="12"/>
        <v>0.93365215998607876</v>
      </c>
      <c r="R32" s="12">
        <f t="shared" si="12"/>
        <v>1</v>
      </c>
      <c r="W32" s="47" t="s">
        <v>106</v>
      </c>
      <c r="X32" s="46">
        <f>SUM(V17:X30)</f>
        <v>15.595615355469258</v>
      </c>
      <c r="Y32" s="6" t="s">
        <v>101</v>
      </c>
    </row>
    <row r="33" spans="2:18" ht="19">
      <c r="B33" s="13" t="s">
        <v>89</v>
      </c>
      <c r="I33" s="11"/>
      <c r="L33" s="47" t="s">
        <v>112</v>
      </c>
      <c r="M33" s="29">
        <f t="shared" ref="M33:R33" si="13">STDEV(M17:M30)</f>
        <v>2.2819259225901729E-2</v>
      </c>
      <c r="N33" s="29">
        <f t="shared" si="13"/>
        <v>4.4529556333191653E-2</v>
      </c>
      <c r="O33" s="29">
        <f t="shared" si="13"/>
        <v>2.2638490418774231E-2</v>
      </c>
      <c r="P33" s="29">
        <f t="shared" si="13"/>
        <v>2.0746651715009442E-2</v>
      </c>
      <c r="Q33" s="29">
        <f t="shared" si="13"/>
        <v>3.8989062991734463E-2</v>
      </c>
      <c r="R33" s="50">
        <f t="shared" si="13"/>
        <v>0</v>
      </c>
    </row>
    <row r="34" spans="2:18">
      <c r="I34" s="11"/>
    </row>
  </sheetData>
  <mergeCells count="9">
    <mergeCell ref="B31:E31"/>
    <mergeCell ref="S14:U14"/>
    <mergeCell ref="V14:X14"/>
    <mergeCell ref="J14:L14"/>
    <mergeCell ref="M14:R14"/>
    <mergeCell ref="M15:O15"/>
    <mergeCell ref="P15:R15"/>
    <mergeCell ref="S15:U15"/>
    <mergeCell ref="V15:X15"/>
  </mergeCells>
  <hyperlinks>
    <hyperlink ref="B11" r:id="rId1" xr:uid="{B88A543B-0348-DA4D-9121-C42FFD2870FB}"/>
  </hyperlinks>
  <pageMargins left="0.7" right="0.7" top="0.75" bottom="0.75" header="0.3" footer="0.3"/>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440F20-C8FD-3444-AC81-4E185027AE87}">
  <sheetPr codeName="Sheet11"/>
  <dimension ref="A1:G34"/>
  <sheetViews>
    <sheetView topLeftCell="A4" zoomScale="174" zoomScaleNormal="174" workbookViewId="0">
      <selection activeCell="L27" sqref="L27"/>
    </sheetView>
  </sheetViews>
  <sheetFormatPr baseColWidth="10" defaultColWidth="11" defaultRowHeight="16"/>
  <cols>
    <col min="1" max="1" width="22.83203125" style="3" customWidth="1"/>
    <col min="2" max="2" width="13.1640625" customWidth="1"/>
    <col min="3" max="3" width="14.33203125" customWidth="1"/>
    <col min="4" max="4" width="12.5" customWidth="1"/>
    <col min="5" max="5" width="14.5" customWidth="1"/>
  </cols>
  <sheetData>
    <row r="1" spans="1:7" s="4" customFormat="1" ht="28" customHeight="1">
      <c r="A1" s="52" t="s">
        <v>121</v>
      </c>
      <c r="G1" s="51" t="s">
        <v>114</v>
      </c>
    </row>
    <row r="2" spans="1:7" s="6" customFormat="1">
      <c r="A2" s="2" t="s">
        <v>14</v>
      </c>
      <c r="B2" s="2" t="s">
        <v>15</v>
      </c>
      <c r="C2" s="2" t="s">
        <v>16</v>
      </c>
      <c r="D2" s="2"/>
      <c r="E2" s="2"/>
    </row>
    <row r="3" spans="1:7" s="6" customFormat="1">
      <c r="A3" s="1" t="s">
        <v>125</v>
      </c>
      <c r="B3" s="58">
        <f>D22</f>
        <v>3831</v>
      </c>
      <c r="C3" s="63">
        <f>D23</f>
        <v>102.34011921040546</v>
      </c>
      <c r="D3" s="15"/>
    </row>
    <row r="4" spans="1:7" s="6" customFormat="1">
      <c r="A4" s="53"/>
      <c r="B4" s="15"/>
      <c r="C4" s="15"/>
      <c r="D4" s="15"/>
      <c r="F4" s="5"/>
    </row>
    <row r="5" spans="1:7" s="6" customFormat="1">
      <c r="A5" s="54"/>
    </row>
    <row r="6" spans="1:7" s="6" customFormat="1">
      <c r="A6" s="55" t="s">
        <v>91</v>
      </c>
      <c r="B6" s="6" t="s">
        <v>122</v>
      </c>
    </row>
    <row r="7" spans="1:7" s="6" customFormat="1">
      <c r="A7" s="55" t="s">
        <v>94</v>
      </c>
      <c r="B7" s="7" t="s">
        <v>124</v>
      </c>
    </row>
    <row r="8" spans="1:7">
      <c r="A8" s="3" t="s">
        <v>118</v>
      </c>
      <c r="B8" s="57" t="s">
        <v>123</v>
      </c>
    </row>
    <row r="10" spans="1:7">
      <c r="C10" s="3"/>
    </row>
    <row r="11" spans="1:7">
      <c r="C11" s="286" t="s">
        <v>128</v>
      </c>
      <c r="D11" s="286"/>
    </row>
    <row r="12" spans="1:7">
      <c r="C12" s="59" t="s">
        <v>126</v>
      </c>
      <c r="D12" s="59" t="s">
        <v>127</v>
      </c>
    </row>
    <row r="13" spans="1:7">
      <c r="C13" s="60">
        <v>1997</v>
      </c>
      <c r="D13" s="60">
        <v>3782</v>
      </c>
    </row>
    <row r="14" spans="1:7">
      <c r="C14" s="60">
        <v>1998</v>
      </c>
      <c r="D14" s="60">
        <v>4066</v>
      </c>
    </row>
    <row r="15" spans="1:7">
      <c r="C15" s="60">
        <v>1999</v>
      </c>
      <c r="D15" s="60">
        <v>3742</v>
      </c>
    </row>
    <row r="16" spans="1:7">
      <c r="C16" s="60">
        <v>2000</v>
      </c>
      <c r="D16" s="60">
        <v>3872</v>
      </c>
    </row>
    <row r="17" spans="2:4">
      <c r="C17" s="60">
        <v>2001</v>
      </c>
      <c r="D17" s="60">
        <v>3801</v>
      </c>
    </row>
    <row r="18" spans="2:4">
      <c r="C18" s="60">
        <v>2002</v>
      </c>
      <c r="D18" s="60">
        <v>3754</v>
      </c>
    </row>
    <row r="19" spans="2:4">
      <c r="C19" s="60">
        <v>2003</v>
      </c>
      <c r="D19" s="60">
        <v>3868</v>
      </c>
    </row>
    <row r="20" spans="2:4">
      <c r="C20" s="60">
        <v>2004</v>
      </c>
      <c r="D20" s="60">
        <v>3742</v>
      </c>
    </row>
    <row r="21" spans="2:4">
      <c r="C21" s="60">
        <v>2005</v>
      </c>
      <c r="D21" s="60">
        <v>3852</v>
      </c>
    </row>
    <row r="22" spans="2:4">
      <c r="C22" s="61" t="s">
        <v>104</v>
      </c>
      <c r="D22" s="62">
        <f>AVERAGE(D13:D21)</f>
        <v>3831</v>
      </c>
    </row>
    <row r="23" spans="2:4">
      <c r="C23" s="61" t="s">
        <v>112</v>
      </c>
      <c r="D23" s="62">
        <f>STDEV(D13:D21)</f>
        <v>102.34011921040546</v>
      </c>
    </row>
    <row r="27" spans="2:4">
      <c r="B27" s="64" t="s">
        <v>129</v>
      </c>
    </row>
    <row r="28" spans="2:4">
      <c r="B28" s="287" t="s">
        <v>131</v>
      </c>
      <c r="C28" s="287"/>
    </row>
    <row r="29" spans="2:4">
      <c r="B29" s="65" t="s">
        <v>130</v>
      </c>
      <c r="C29" s="65" t="s">
        <v>127</v>
      </c>
    </row>
    <row r="30" spans="2:4">
      <c r="B30" s="66" t="s">
        <v>115</v>
      </c>
      <c r="C30" s="66">
        <v>3257</v>
      </c>
    </row>
    <row r="31" spans="2:4">
      <c r="B31" s="66" t="s">
        <v>116</v>
      </c>
      <c r="C31" s="66">
        <v>4095</v>
      </c>
    </row>
    <row r="32" spans="2:4">
      <c r="B32" s="66" t="s">
        <v>117</v>
      </c>
      <c r="C32" s="66">
        <v>5149</v>
      </c>
    </row>
    <row r="33" spans="2:3">
      <c r="B33" s="61" t="s">
        <v>104</v>
      </c>
      <c r="C33" s="62">
        <f>AVERAGE(C30:C32)</f>
        <v>4167</v>
      </c>
    </row>
    <row r="34" spans="2:3">
      <c r="B34" s="61" t="s">
        <v>112</v>
      </c>
      <c r="C34" s="62">
        <f>STDEV(C30:C32)</f>
        <v>948.05274114892995</v>
      </c>
    </row>
  </sheetData>
  <mergeCells count="2">
    <mergeCell ref="C11:D11"/>
    <mergeCell ref="B28:C28"/>
  </mergeCells>
  <hyperlinks>
    <hyperlink ref="B8" r:id="rId1" xr:uid="{71A91B91-5D6B-4745-A44E-39E163051E86}"/>
  </hyperlinks>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EDF83D-F6C8-C84B-9B2D-804DF05BB296}">
  <sheetPr codeName="Sheet12"/>
  <dimension ref="A1:J39"/>
  <sheetViews>
    <sheetView zoomScale="152" zoomScaleNormal="152" workbookViewId="0">
      <selection activeCell="M31" sqref="M31"/>
    </sheetView>
  </sheetViews>
  <sheetFormatPr baseColWidth="10" defaultColWidth="11" defaultRowHeight="16"/>
  <cols>
    <col min="1" max="1" width="17.1640625" customWidth="1"/>
    <col min="2" max="2" width="17.6640625" customWidth="1"/>
    <col min="3" max="3" width="12" customWidth="1"/>
    <col min="4" max="4" width="15.83203125" bestFit="1" customWidth="1"/>
    <col min="6" max="6" width="14.6640625" customWidth="1"/>
    <col min="7" max="7" width="15.33203125" customWidth="1"/>
  </cols>
  <sheetData>
    <row r="1" spans="1:4">
      <c r="A1" t="s">
        <v>215</v>
      </c>
    </row>
    <row r="2" spans="1:4">
      <c r="A2" t="s">
        <v>158</v>
      </c>
      <c r="B2" s="2" t="s">
        <v>14</v>
      </c>
      <c r="C2" s="2" t="s">
        <v>15</v>
      </c>
      <c r="D2" s="2" t="s">
        <v>16</v>
      </c>
    </row>
    <row r="3" spans="1:4">
      <c r="A3" t="str">
        <f>D25</f>
        <v>CC-Curr</v>
      </c>
      <c r="B3" s="1" t="s">
        <v>125</v>
      </c>
      <c r="C3" s="58">
        <f>I25</f>
        <v>49138898.203365818</v>
      </c>
      <c r="D3" s="63">
        <f>J25</f>
        <v>3527486.1162473494</v>
      </c>
    </row>
    <row r="4" spans="1:4">
      <c r="A4" t="str">
        <f t="shared" ref="A4:A16" si="0">D26</f>
        <v>CC-PNV</v>
      </c>
      <c r="B4" s="1" t="s">
        <v>125</v>
      </c>
      <c r="C4" s="58">
        <f t="shared" ref="C4:C16" si="1">I26</f>
        <v>51190101.424611047</v>
      </c>
      <c r="D4" s="63">
        <f t="shared" ref="D4:D16" si="2">J26</f>
        <v>3642068.1075150454</v>
      </c>
    </row>
    <row r="5" spans="1:4">
      <c r="A5" t="str">
        <f t="shared" si="0"/>
        <v>CC-HiPr</v>
      </c>
      <c r="B5" s="1" t="s">
        <v>125</v>
      </c>
      <c r="C5" s="58">
        <f t="shared" si="1"/>
        <v>49219743.62760222</v>
      </c>
      <c r="D5" s="63">
        <f t="shared" si="2"/>
        <v>3531813.2657327498</v>
      </c>
    </row>
    <row r="6" spans="1:4">
      <c r="A6" t="str">
        <f t="shared" si="0"/>
        <v>CC-WidPNV</v>
      </c>
      <c r="B6" s="1" t="s">
        <v>125</v>
      </c>
      <c r="C6" s="58">
        <f t="shared" si="1"/>
        <v>51190101.424611047</v>
      </c>
      <c r="D6" s="63">
        <f t="shared" si="2"/>
        <v>3642068.1075150454</v>
      </c>
    </row>
    <row r="7" spans="1:4">
      <c r="A7" t="str">
        <f t="shared" si="0"/>
        <v>CC-Clim</v>
      </c>
      <c r="B7" s="1" t="s">
        <v>125</v>
      </c>
      <c r="C7" s="58">
        <f t="shared" si="1"/>
        <v>31413049.454920705</v>
      </c>
      <c r="D7" s="63">
        <f t="shared" si="2"/>
        <v>2235883.7016239432</v>
      </c>
    </row>
    <row r="8" spans="1:4">
      <c r="A8" t="str">
        <f t="shared" si="0"/>
        <v>CC-ClimVeg</v>
      </c>
      <c r="B8" s="1" t="s">
        <v>125</v>
      </c>
      <c r="C8" s="58">
        <f t="shared" si="1"/>
        <v>48890065.044123471</v>
      </c>
      <c r="D8" s="63">
        <f t="shared" si="2"/>
        <v>3514270.9819312533</v>
      </c>
    </row>
    <row r="9" spans="1:4">
      <c r="A9" t="str">
        <f t="shared" si="0"/>
        <v>CC-ClimVegWid</v>
      </c>
      <c r="B9" s="1" t="s">
        <v>125</v>
      </c>
      <c r="C9" s="58">
        <f t="shared" si="1"/>
        <v>49716254.451472543</v>
      </c>
      <c r="D9" s="63">
        <f t="shared" si="2"/>
        <v>3558745.0183289396</v>
      </c>
    </row>
    <row r="10" spans="1:4">
      <c r="A10" t="str">
        <f t="shared" si="0"/>
        <v>UGR-Curr</v>
      </c>
      <c r="B10" s="1" t="s">
        <v>125</v>
      </c>
      <c r="C10" s="58">
        <f t="shared" si="1"/>
        <v>54394273.097957537</v>
      </c>
      <c r="D10" s="63">
        <f t="shared" si="2"/>
        <v>18597659.549912196</v>
      </c>
    </row>
    <row r="11" spans="1:4">
      <c r="A11" t="str">
        <f t="shared" si="0"/>
        <v>UGR-PNV</v>
      </c>
      <c r="B11" s="1" t="s">
        <v>125</v>
      </c>
      <c r="C11" s="58">
        <f t="shared" si="1"/>
        <v>99336948.102898568</v>
      </c>
      <c r="D11" s="63">
        <f t="shared" si="2"/>
        <v>35733049.590448946</v>
      </c>
    </row>
    <row r="12" spans="1:4">
      <c r="A12" t="str">
        <f t="shared" si="0"/>
        <v>UGR-HiPr</v>
      </c>
      <c r="B12" s="1" t="s">
        <v>125</v>
      </c>
      <c r="C12" s="58">
        <f t="shared" si="1"/>
        <v>70410836.338184536</v>
      </c>
      <c r="D12" s="63">
        <f t="shared" si="2"/>
        <v>24096298.112041097</v>
      </c>
    </row>
    <row r="13" spans="1:4">
      <c r="A13" t="str">
        <f t="shared" si="0"/>
        <v>UGR-WidPNV</v>
      </c>
      <c r="B13" s="1" t="s">
        <v>125</v>
      </c>
      <c r="C13" s="58">
        <f t="shared" si="1"/>
        <v>99336948.102898568</v>
      </c>
      <c r="D13" s="63">
        <f t="shared" si="2"/>
        <v>35733049.590448946</v>
      </c>
    </row>
    <row r="14" spans="1:4">
      <c r="A14" t="str">
        <f t="shared" si="0"/>
        <v>UGR-Clim</v>
      </c>
      <c r="B14" s="1" t="s">
        <v>125</v>
      </c>
      <c r="C14" s="58">
        <f t="shared" si="1"/>
        <v>22010640.4777859</v>
      </c>
      <c r="D14" s="63">
        <f t="shared" si="2"/>
        <v>8533906.2247610614</v>
      </c>
    </row>
    <row r="15" spans="1:4">
      <c r="A15" t="str">
        <f t="shared" si="0"/>
        <v>UGR-ClimVeg</v>
      </c>
      <c r="B15" s="1" t="s">
        <v>125</v>
      </c>
      <c r="C15" s="58">
        <f t="shared" si="1"/>
        <v>54560697.252019271</v>
      </c>
      <c r="D15" s="63">
        <f t="shared" si="2"/>
        <v>18682741.867810909</v>
      </c>
    </row>
    <row r="16" spans="1:4">
      <c r="A16" t="str">
        <f t="shared" si="0"/>
        <v>UGR-ClimVegWid</v>
      </c>
      <c r="B16" s="1" t="s">
        <v>125</v>
      </c>
      <c r="C16" s="58">
        <f t="shared" si="1"/>
        <v>59886501.146239229</v>
      </c>
      <c r="D16" s="63">
        <f t="shared" si="2"/>
        <v>20199528.758985635</v>
      </c>
    </row>
    <row r="22" spans="2:10">
      <c r="C22" s="108" t="s">
        <v>180</v>
      </c>
    </row>
    <row r="23" spans="2:10" ht="24">
      <c r="B23" s="109"/>
      <c r="C23" s="109" t="s">
        <v>181</v>
      </c>
    </row>
    <row r="24" spans="2:10">
      <c r="B24" s="112" t="s">
        <v>43</v>
      </c>
      <c r="C24" s="112" t="s">
        <v>45</v>
      </c>
      <c r="D24" t="s">
        <v>158</v>
      </c>
      <c r="E24" s="112" t="s">
        <v>162</v>
      </c>
      <c r="F24" s="112" t="s">
        <v>183</v>
      </c>
      <c r="G24" s="112" t="s">
        <v>184</v>
      </c>
      <c r="H24" s="112" t="s">
        <v>185</v>
      </c>
      <c r="I24" s="112" t="s">
        <v>186</v>
      </c>
      <c r="J24" s="112" t="s">
        <v>187</v>
      </c>
    </row>
    <row r="25" spans="2:10">
      <c r="B25" s="114" t="s">
        <v>25</v>
      </c>
      <c r="C25" s="114" t="s">
        <v>46</v>
      </c>
      <c r="D25" s="114" t="str">
        <f>B25&amp;"-"&amp;C25</f>
        <v>CC-Curr</v>
      </c>
      <c r="E25" s="114">
        <v>5</v>
      </c>
      <c r="F25" s="115">
        <v>12826.650535986901</v>
      </c>
      <c r="G25" s="116">
        <v>920.77424073279803</v>
      </c>
      <c r="H25" s="117">
        <f>G25/F25</f>
        <v>7.1786023806405391E-2</v>
      </c>
      <c r="I25" s="118">
        <f>F25*3831</f>
        <v>49138898.203365818</v>
      </c>
      <c r="J25" s="118">
        <f>G25*3831</f>
        <v>3527486.1162473494</v>
      </c>
    </row>
    <row r="26" spans="2:10">
      <c r="B26" s="114" t="s">
        <v>25</v>
      </c>
      <c r="C26" s="114" t="s">
        <v>47</v>
      </c>
      <c r="D26" s="114" t="str">
        <f t="shared" ref="D26:D38" si="3">B26&amp;"-"&amp;C26</f>
        <v>CC-PNV</v>
      </c>
      <c r="E26" s="114">
        <v>5</v>
      </c>
      <c r="F26" s="116">
        <v>13362.072937773701</v>
      </c>
      <c r="G26" s="116">
        <v>950.68340055208705</v>
      </c>
      <c r="H26" s="117">
        <f t="shared" ref="H26:H38" si="4">G26/F26</f>
        <v>7.1147897858315656E-2</v>
      </c>
      <c r="I26" s="118">
        <f>F26*3831</f>
        <v>51190101.424611047</v>
      </c>
      <c r="J26" s="118">
        <f t="shared" ref="J26:J38" si="5">G26*3831</f>
        <v>3642068.1075150454</v>
      </c>
    </row>
    <row r="27" spans="2:10">
      <c r="B27" s="114" t="s">
        <v>25</v>
      </c>
      <c r="C27" s="114" t="s">
        <v>48</v>
      </c>
      <c r="D27" s="114" t="str">
        <f t="shared" si="3"/>
        <v>CC-HiPr</v>
      </c>
      <c r="E27" s="114">
        <v>5</v>
      </c>
      <c r="F27" s="116">
        <v>12847.7534919348</v>
      </c>
      <c r="G27" s="116">
        <v>921.90374986498296</v>
      </c>
      <c r="H27" s="117">
        <f t="shared" si="4"/>
        <v>7.1756027265288805E-2</v>
      </c>
      <c r="I27" s="118">
        <f t="shared" ref="I27:I38" si="6">F27*3831</f>
        <v>49219743.62760222</v>
      </c>
      <c r="J27" s="118">
        <f t="shared" si="5"/>
        <v>3531813.2657327498</v>
      </c>
    </row>
    <row r="28" spans="2:10">
      <c r="B28" s="114" t="s">
        <v>25</v>
      </c>
      <c r="C28" s="114" t="s">
        <v>193</v>
      </c>
      <c r="D28" s="114" t="str">
        <f t="shared" si="3"/>
        <v>CC-WidPNV</v>
      </c>
      <c r="E28" s="114">
        <v>5</v>
      </c>
      <c r="F28" s="116">
        <v>13362.072937773701</v>
      </c>
      <c r="G28" s="116">
        <v>950.68340055208705</v>
      </c>
      <c r="H28" s="117">
        <f t="shared" si="4"/>
        <v>7.1147897858315656E-2</v>
      </c>
      <c r="I28" s="118">
        <f t="shared" si="6"/>
        <v>51190101.424611047</v>
      </c>
      <c r="J28" s="118">
        <f>G28*3831</f>
        <v>3642068.1075150454</v>
      </c>
    </row>
    <row r="29" spans="2:10">
      <c r="B29" s="114" t="s">
        <v>25</v>
      </c>
      <c r="C29" s="114" t="s">
        <v>49</v>
      </c>
      <c r="D29" s="114" t="str">
        <f t="shared" si="3"/>
        <v>CC-Clim</v>
      </c>
      <c r="E29" s="114">
        <v>5</v>
      </c>
      <c r="F29" s="116">
        <v>8199.6996749988793</v>
      </c>
      <c r="G29" s="116">
        <v>583.62926171337597</v>
      </c>
      <c r="H29" s="117">
        <f t="shared" si="4"/>
        <v>7.1176907063179209E-2</v>
      </c>
      <c r="I29" s="118">
        <f t="shared" si="6"/>
        <v>31413049.454920705</v>
      </c>
      <c r="J29" s="118">
        <f t="shared" si="5"/>
        <v>2235883.7016239432</v>
      </c>
    </row>
    <row r="30" spans="2:10">
      <c r="B30" s="114" t="s">
        <v>25</v>
      </c>
      <c r="C30" s="114" t="s">
        <v>50</v>
      </c>
      <c r="D30" s="114" t="str">
        <f t="shared" si="3"/>
        <v>CC-ClimVeg</v>
      </c>
      <c r="E30" s="114">
        <v>5</v>
      </c>
      <c r="F30" s="116">
        <v>12761.698001598401</v>
      </c>
      <c r="G30" s="116">
        <v>917.32471467795699</v>
      </c>
      <c r="H30" s="117">
        <f t="shared" si="4"/>
        <v>7.1881086244405895E-2</v>
      </c>
      <c r="I30" s="118">
        <f t="shared" si="6"/>
        <v>48890065.044123471</v>
      </c>
      <c r="J30" s="118">
        <f t="shared" si="5"/>
        <v>3514270.9819312533</v>
      </c>
    </row>
    <row r="31" spans="2:10">
      <c r="B31" s="114" t="s">
        <v>25</v>
      </c>
      <c r="C31" s="114" t="s">
        <v>51</v>
      </c>
      <c r="D31" s="114" t="str">
        <f t="shared" si="3"/>
        <v>CC-ClimVegWid</v>
      </c>
      <c r="E31" s="114">
        <v>5</v>
      </c>
      <c r="F31" s="116">
        <v>12977.356943741201</v>
      </c>
      <c r="G31" s="116">
        <v>928.93370355754098</v>
      </c>
      <c r="H31" s="117">
        <f t="shared" si="4"/>
        <v>7.1581116831771568E-2</v>
      </c>
      <c r="I31" s="118">
        <f t="shared" si="6"/>
        <v>49716254.451472543</v>
      </c>
      <c r="J31" s="118">
        <f t="shared" si="5"/>
        <v>3558745.0183289396</v>
      </c>
    </row>
    <row r="32" spans="2:10">
      <c r="B32" s="125" t="s">
        <v>44</v>
      </c>
      <c r="C32" s="125" t="s">
        <v>46</v>
      </c>
      <c r="D32" s="125" t="str">
        <f t="shared" si="3"/>
        <v>UGR-Curr</v>
      </c>
      <c r="E32" s="125">
        <v>5</v>
      </c>
      <c r="F32" s="126">
        <v>14198.4529099341</v>
      </c>
      <c r="G32" s="127">
        <v>4854.51828502015</v>
      </c>
      <c r="H32" s="128">
        <f t="shared" si="4"/>
        <v>0.34190473538308064</v>
      </c>
      <c r="I32" s="129">
        <f t="shared" si="6"/>
        <v>54394273.097957537</v>
      </c>
      <c r="J32" s="129">
        <f t="shared" si="5"/>
        <v>18597659.549912196</v>
      </c>
    </row>
    <row r="33" spans="2:10">
      <c r="B33" s="125" t="s">
        <v>44</v>
      </c>
      <c r="C33" s="125" t="s">
        <v>47</v>
      </c>
      <c r="D33" s="125" t="str">
        <f t="shared" si="3"/>
        <v>UGR-PNV</v>
      </c>
      <c r="E33" s="125">
        <v>5</v>
      </c>
      <c r="F33" s="127">
        <v>25929.769799764701</v>
      </c>
      <c r="G33" s="127">
        <v>9327.3426234531307</v>
      </c>
      <c r="H33" s="128">
        <f t="shared" si="4"/>
        <v>0.35971559699453143</v>
      </c>
      <c r="I33" s="129">
        <f t="shared" si="6"/>
        <v>99336948.102898568</v>
      </c>
      <c r="J33" s="129">
        <f t="shared" si="5"/>
        <v>35733049.590448946</v>
      </c>
    </row>
    <row r="34" spans="2:10">
      <c r="B34" s="125" t="s">
        <v>44</v>
      </c>
      <c r="C34" s="125" t="s">
        <v>48</v>
      </c>
      <c r="D34" s="125" t="str">
        <f t="shared" si="3"/>
        <v>UGR-HiPr</v>
      </c>
      <c r="E34" s="125">
        <v>5</v>
      </c>
      <c r="F34" s="127">
        <v>18379.231620512801</v>
      </c>
      <c r="G34" s="127">
        <v>6289.8193975570603</v>
      </c>
      <c r="H34" s="128">
        <f t="shared" si="4"/>
        <v>0.34222428485732131</v>
      </c>
      <c r="I34" s="129">
        <f t="shared" si="6"/>
        <v>70410836.338184536</v>
      </c>
      <c r="J34" s="129">
        <f t="shared" si="5"/>
        <v>24096298.112041097</v>
      </c>
    </row>
    <row r="35" spans="2:10">
      <c r="B35" s="125" t="s">
        <v>44</v>
      </c>
      <c r="C35" s="125" t="s">
        <v>193</v>
      </c>
      <c r="D35" s="125" t="str">
        <f t="shared" si="3"/>
        <v>UGR-WidPNV</v>
      </c>
      <c r="E35" s="125">
        <v>5</v>
      </c>
      <c r="F35" s="127">
        <v>25929.769799764701</v>
      </c>
      <c r="G35" s="127">
        <v>9327.3426234531307</v>
      </c>
      <c r="H35" s="128">
        <f t="shared" si="4"/>
        <v>0.35971559699453143</v>
      </c>
      <c r="I35" s="129">
        <f t="shared" si="6"/>
        <v>99336948.102898568</v>
      </c>
      <c r="J35" s="129">
        <f t="shared" si="5"/>
        <v>35733049.590448946</v>
      </c>
    </row>
    <row r="36" spans="2:10">
      <c r="B36" s="125" t="s">
        <v>44</v>
      </c>
      <c r="C36" s="125" t="s">
        <v>49</v>
      </c>
      <c r="D36" s="125" t="str">
        <f t="shared" si="3"/>
        <v>UGR-Clim</v>
      </c>
      <c r="E36" s="125">
        <v>5</v>
      </c>
      <c r="F36" s="127">
        <v>5745.4034136742102</v>
      </c>
      <c r="G36" s="127">
        <v>2227.59233222685</v>
      </c>
      <c r="H36" s="128">
        <f t="shared" si="4"/>
        <v>0.38771730579007246</v>
      </c>
      <c r="I36" s="129">
        <f t="shared" si="6"/>
        <v>22010640.4777859</v>
      </c>
      <c r="J36" s="129">
        <f t="shared" si="5"/>
        <v>8533906.2247610614</v>
      </c>
    </row>
    <row r="37" spans="2:10">
      <c r="B37" s="125" t="s">
        <v>44</v>
      </c>
      <c r="C37" s="125" t="s">
        <v>50</v>
      </c>
      <c r="D37" s="125" t="str">
        <f t="shared" si="3"/>
        <v>UGR-ClimVeg</v>
      </c>
      <c r="E37" s="125">
        <v>5</v>
      </c>
      <c r="F37" s="127">
        <v>14241.8943492611</v>
      </c>
      <c r="G37" s="127">
        <v>4876.7271907624399</v>
      </c>
      <c r="H37" s="128">
        <f t="shared" si="4"/>
        <v>0.34242124475635188</v>
      </c>
      <c r="I37" s="129">
        <f t="shared" si="6"/>
        <v>54560697.252019271</v>
      </c>
      <c r="J37" s="129">
        <f t="shared" si="5"/>
        <v>18682741.867810909</v>
      </c>
    </row>
    <row r="38" spans="2:10">
      <c r="B38" s="125" t="s">
        <v>44</v>
      </c>
      <c r="C38" s="125" t="s">
        <v>51</v>
      </c>
      <c r="D38" s="125" t="str">
        <f t="shared" si="3"/>
        <v>UGR-ClimVegWid</v>
      </c>
      <c r="E38" s="125">
        <v>5</v>
      </c>
      <c r="F38" s="127">
        <v>15632.0806959643</v>
      </c>
      <c r="G38" s="127">
        <v>5272.6517251332898</v>
      </c>
      <c r="H38" s="128">
        <f t="shared" si="4"/>
        <v>0.33729685943180415</v>
      </c>
      <c r="I38" s="129">
        <f t="shared" si="6"/>
        <v>59886501.146239229</v>
      </c>
      <c r="J38" s="129">
        <f t="shared" si="5"/>
        <v>20199528.758985635</v>
      </c>
    </row>
    <row r="39" spans="2:10">
      <c r="B39" s="162" t="s">
        <v>194</v>
      </c>
      <c r="C39" s="161"/>
      <c r="D39" s="161"/>
      <c r="E39" s="161"/>
      <c r="F39" s="161"/>
      <c r="G39" s="161"/>
      <c r="H39" s="161"/>
      <c r="I39" s="161"/>
      <c r="J39" s="161"/>
    </row>
  </sheetData>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ECD4D3-EC51-6146-88BE-828AD28F78B4}">
  <dimension ref="A1:V55"/>
  <sheetViews>
    <sheetView zoomScale="170" zoomScaleNormal="170" workbookViewId="0">
      <selection activeCell="C6" sqref="C6"/>
    </sheetView>
  </sheetViews>
  <sheetFormatPr baseColWidth="10" defaultColWidth="11" defaultRowHeight="16"/>
  <cols>
    <col min="1" max="1" width="12.5" customWidth="1"/>
    <col min="2" max="2" width="25" customWidth="1"/>
    <col min="3" max="3" width="21.1640625" customWidth="1"/>
    <col min="4" max="4" width="17.6640625" customWidth="1"/>
    <col min="13" max="13" width="10.83203125" style="254"/>
    <col min="21" max="21" width="15.1640625" customWidth="1"/>
  </cols>
  <sheetData>
    <row r="1" spans="1:22" ht="21">
      <c r="A1" s="67" t="s">
        <v>170</v>
      </c>
      <c r="B1" s="1"/>
      <c r="C1" s="1"/>
      <c r="D1" s="1"/>
    </row>
    <row r="2" spans="1:22">
      <c r="A2" s="252" t="s">
        <v>43</v>
      </c>
      <c r="B2" s="2" t="s">
        <v>14</v>
      </c>
      <c r="C2" s="92" t="s">
        <v>15</v>
      </c>
      <c r="D2" s="92" t="s">
        <v>16</v>
      </c>
    </row>
    <row r="3" spans="1:22">
      <c r="A3" s="203" t="s">
        <v>25</v>
      </c>
      <c r="B3" s="256" t="s">
        <v>305</v>
      </c>
      <c r="C3" s="255">
        <f>J22</f>
        <v>1284.8737864077668</v>
      </c>
      <c r="D3" s="255">
        <f>J23</f>
        <v>299.81848877878224</v>
      </c>
    </row>
    <row r="4" spans="1:22">
      <c r="A4" s="256" t="s">
        <v>44</v>
      </c>
      <c r="B4" s="256" t="s">
        <v>305</v>
      </c>
      <c r="C4" s="255">
        <f>U35</f>
        <v>1226.0423529411764</v>
      </c>
      <c r="D4" s="255">
        <f>U36</f>
        <v>397.82866088332918</v>
      </c>
    </row>
    <row r="5" spans="1:22">
      <c r="A5" s="90"/>
      <c r="B5" s="103"/>
      <c r="C5" s="103"/>
      <c r="D5" s="103"/>
    </row>
    <row r="9" spans="1:22">
      <c r="M9"/>
    </row>
    <row r="10" spans="1:22">
      <c r="B10" s="271" t="s">
        <v>298</v>
      </c>
      <c r="C10" s="271"/>
      <c r="D10" s="271"/>
      <c r="E10" s="271"/>
      <c r="F10" s="271"/>
      <c r="G10" s="271"/>
      <c r="H10" s="271"/>
      <c r="I10" s="271"/>
      <c r="J10" s="271"/>
      <c r="M10" s="288" t="s">
        <v>304</v>
      </c>
      <c r="N10" s="288"/>
      <c r="O10" s="288"/>
      <c r="P10" s="288"/>
      <c r="Q10" s="288"/>
      <c r="R10" s="288"/>
      <c r="S10" s="288"/>
      <c r="T10" s="288"/>
      <c r="U10" s="288"/>
    </row>
    <row r="11" spans="1:22" s="253" customFormat="1" ht="48" customHeight="1">
      <c r="B11" s="251" t="s">
        <v>299</v>
      </c>
      <c r="C11" s="251" t="s">
        <v>135</v>
      </c>
      <c r="D11" s="251" t="s">
        <v>290</v>
      </c>
      <c r="E11" s="251" t="s">
        <v>291</v>
      </c>
      <c r="F11" s="251" t="s">
        <v>292</v>
      </c>
      <c r="G11" s="251" t="s">
        <v>293</v>
      </c>
      <c r="H11" s="251" t="s">
        <v>294</v>
      </c>
      <c r="I11" s="251" t="s">
        <v>302</v>
      </c>
      <c r="J11" s="251" t="s">
        <v>295</v>
      </c>
      <c r="L11"/>
      <c r="M11" s="259" t="s">
        <v>299</v>
      </c>
      <c r="N11" s="259" t="s">
        <v>135</v>
      </c>
      <c r="O11" s="259" t="s">
        <v>290</v>
      </c>
      <c r="P11" s="259" t="s">
        <v>291</v>
      </c>
      <c r="Q11" s="259" t="s">
        <v>292</v>
      </c>
      <c r="R11" s="259" t="s">
        <v>294</v>
      </c>
      <c r="S11" s="259" t="s">
        <v>293</v>
      </c>
      <c r="T11" s="259" t="s">
        <v>302</v>
      </c>
      <c r="U11" s="259" t="s">
        <v>303</v>
      </c>
      <c r="V11"/>
    </row>
    <row r="12" spans="1:22" ht="17">
      <c r="B12" s="257" t="s">
        <v>300</v>
      </c>
      <c r="C12" s="195">
        <v>2005</v>
      </c>
      <c r="D12" s="195">
        <v>2007</v>
      </c>
      <c r="E12" s="195" t="s">
        <v>296</v>
      </c>
      <c r="F12" s="195">
        <v>49696</v>
      </c>
      <c r="G12" s="195">
        <v>150000</v>
      </c>
      <c r="H12" s="195"/>
      <c r="I12" s="195"/>
      <c r="J12" s="195"/>
      <c r="M12" s="258" t="s">
        <v>301</v>
      </c>
      <c r="N12" s="258">
        <v>1998</v>
      </c>
      <c r="O12" s="258">
        <v>2000</v>
      </c>
      <c r="P12" s="258" t="s">
        <v>296</v>
      </c>
      <c r="Q12" s="258">
        <v>1508</v>
      </c>
      <c r="R12" s="258"/>
      <c r="S12" s="258">
        <v>250000</v>
      </c>
      <c r="T12" s="258">
        <v>170</v>
      </c>
      <c r="U12" s="258"/>
    </row>
    <row r="13" spans="1:22" ht="17">
      <c r="B13" s="257" t="s">
        <v>301</v>
      </c>
      <c r="C13" s="195">
        <v>2005</v>
      </c>
      <c r="D13" s="195">
        <v>2007</v>
      </c>
      <c r="E13" s="195" t="s">
        <v>296</v>
      </c>
      <c r="F13" s="195">
        <v>21573</v>
      </c>
      <c r="G13" s="195">
        <v>150000</v>
      </c>
      <c r="H13" s="195">
        <f>SUM(F12:F13)</f>
        <v>71269</v>
      </c>
      <c r="I13" s="195">
        <v>103</v>
      </c>
      <c r="J13" s="195">
        <f>H13/I13</f>
        <v>691.93203883495141</v>
      </c>
      <c r="M13" s="258" t="s">
        <v>301</v>
      </c>
      <c r="N13" s="258">
        <v>1999</v>
      </c>
      <c r="O13" s="258">
        <v>2001</v>
      </c>
      <c r="P13" s="258" t="s">
        <v>296</v>
      </c>
      <c r="Q13" s="258">
        <v>2560</v>
      </c>
      <c r="R13" s="258"/>
      <c r="S13" s="258">
        <v>250000</v>
      </c>
      <c r="T13" s="258">
        <v>170</v>
      </c>
      <c r="U13" s="258"/>
    </row>
    <row r="14" spans="1:22" ht="17">
      <c r="B14" s="257" t="s">
        <v>300</v>
      </c>
      <c r="C14" s="195">
        <v>2006</v>
      </c>
      <c r="D14" s="195">
        <v>2008</v>
      </c>
      <c r="E14" s="195" t="s">
        <v>296</v>
      </c>
      <c r="F14" s="195">
        <v>116882</v>
      </c>
      <c r="G14" s="195">
        <v>150000</v>
      </c>
      <c r="H14" s="195">
        <v>116882</v>
      </c>
      <c r="I14" s="195">
        <v>103</v>
      </c>
      <c r="J14" s="195">
        <f t="shared" ref="J14:J21" si="0">H14/I14</f>
        <v>1134.7766990291261</v>
      </c>
      <c r="M14" s="258" t="s">
        <v>301</v>
      </c>
      <c r="N14" s="258">
        <v>2000</v>
      </c>
      <c r="O14" s="258">
        <v>2002</v>
      </c>
      <c r="P14" s="258" t="s">
        <v>296</v>
      </c>
      <c r="Q14" s="258">
        <v>151444</v>
      </c>
      <c r="R14" s="258"/>
      <c r="S14" s="258">
        <v>250000</v>
      </c>
      <c r="T14" s="258">
        <v>170</v>
      </c>
      <c r="U14" s="258"/>
    </row>
    <row r="15" spans="1:22" ht="17">
      <c r="B15" s="257" t="s">
        <v>300</v>
      </c>
      <c r="C15" s="195">
        <v>2007</v>
      </c>
      <c r="D15" s="195">
        <v>2009</v>
      </c>
      <c r="E15" s="195" t="s">
        <v>296</v>
      </c>
      <c r="F15" s="195">
        <v>138843</v>
      </c>
      <c r="G15" s="195">
        <v>150000</v>
      </c>
      <c r="H15" s="195">
        <v>138843</v>
      </c>
      <c r="I15" s="195">
        <v>103</v>
      </c>
      <c r="J15" s="195">
        <f t="shared" si="0"/>
        <v>1347.990291262136</v>
      </c>
      <c r="M15" s="258" t="s">
        <v>300</v>
      </c>
      <c r="N15" s="258">
        <v>2001</v>
      </c>
      <c r="O15" s="258">
        <v>2003</v>
      </c>
      <c r="P15" s="258" t="s">
        <v>296</v>
      </c>
      <c r="Q15" s="258">
        <v>26923</v>
      </c>
      <c r="R15" s="258"/>
      <c r="S15" s="258">
        <v>250000</v>
      </c>
      <c r="T15" s="258">
        <v>170</v>
      </c>
      <c r="U15" s="258"/>
    </row>
    <row r="16" spans="1:22" ht="17">
      <c r="B16" s="257" t="s">
        <v>300</v>
      </c>
      <c r="C16" s="195">
        <v>2008</v>
      </c>
      <c r="D16" s="195">
        <v>2010</v>
      </c>
      <c r="E16" s="195" t="s">
        <v>296</v>
      </c>
      <c r="F16" s="195">
        <v>110242</v>
      </c>
      <c r="G16" s="195">
        <v>150000</v>
      </c>
      <c r="H16" s="195"/>
      <c r="I16" s="195"/>
      <c r="J16" s="195"/>
      <c r="M16" s="258" t="s">
        <v>301</v>
      </c>
      <c r="N16" s="258">
        <v>2001</v>
      </c>
      <c r="O16" s="258">
        <v>2003</v>
      </c>
      <c r="P16" s="258" t="s">
        <v>296</v>
      </c>
      <c r="Q16" s="258">
        <v>210113</v>
      </c>
      <c r="R16" s="258">
        <v>237036</v>
      </c>
      <c r="S16" s="258">
        <v>250000</v>
      </c>
      <c r="T16" s="258">
        <v>170</v>
      </c>
      <c r="U16" s="258">
        <f>R16/T16</f>
        <v>1394.3294117647058</v>
      </c>
    </row>
    <row r="17" spans="2:21" ht="17">
      <c r="B17" s="257" t="s">
        <v>301</v>
      </c>
      <c r="C17" s="195">
        <v>2008</v>
      </c>
      <c r="D17" s="195">
        <v>2010</v>
      </c>
      <c r="E17" s="195" t="s">
        <v>296</v>
      </c>
      <c r="F17" s="195">
        <v>34111</v>
      </c>
      <c r="G17" s="195">
        <v>150000</v>
      </c>
      <c r="H17" s="195">
        <f>SUM(F16:F17)</f>
        <v>144353</v>
      </c>
      <c r="I17" s="195">
        <v>103</v>
      </c>
      <c r="J17" s="195">
        <f t="shared" si="0"/>
        <v>1401.485436893204</v>
      </c>
      <c r="M17" s="258" t="s">
        <v>300</v>
      </c>
      <c r="N17" s="258">
        <v>2002</v>
      </c>
      <c r="O17" s="258">
        <v>2004</v>
      </c>
      <c r="P17" s="258" t="s">
        <v>296</v>
      </c>
      <c r="Q17" s="258">
        <v>69856</v>
      </c>
      <c r="R17" s="258"/>
      <c r="S17" s="258">
        <v>250000</v>
      </c>
      <c r="T17" s="258">
        <v>170</v>
      </c>
      <c r="U17" s="258"/>
    </row>
    <row r="18" spans="2:21" ht="17">
      <c r="B18" s="257" t="s">
        <v>300</v>
      </c>
      <c r="C18" s="195">
        <v>2009</v>
      </c>
      <c r="D18" s="195">
        <v>2011</v>
      </c>
      <c r="E18" s="195" t="s">
        <v>296</v>
      </c>
      <c r="F18" s="195">
        <v>58737</v>
      </c>
      <c r="G18" s="195">
        <v>150000</v>
      </c>
      <c r="H18" s="195"/>
      <c r="I18" s="195"/>
      <c r="J18" s="195"/>
      <c r="M18" s="258" t="s">
        <v>301</v>
      </c>
      <c r="N18" s="258">
        <v>2002</v>
      </c>
      <c r="O18" s="258">
        <v>2004</v>
      </c>
      <c r="P18" s="258" t="s">
        <v>296</v>
      </c>
      <c r="Q18" s="258">
        <v>75063</v>
      </c>
      <c r="R18" s="258">
        <v>144919</v>
      </c>
      <c r="S18" s="258">
        <v>250000</v>
      </c>
      <c r="T18" s="258">
        <v>170</v>
      </c>
      <c r="U18" s="258">
        <f>R18/T18</f>
        <v>852.46470588235297</v>
      </c>
    </row>
    <row r="19" spans="2:21" ht="17">
      <c r="B19" s="257" t="s">
        <v>301</v>
      </c>
      <c r="C19" s="195">
        <v>2009</v>
      </c>
      <c r="D19" s="195">
        <v>2011</v>
      </c>
      <c r="E19" s="195" t="s">
        <v>296</v>
      </c>
      <c r="F19" s="195">
        <v>100417</v>
      </c>
      <c r="G19" s="195">
        <v>150000</v>
      </c>
      <c r="H19" s="195">
        <f>SUM(F18:F19)</f>
        <v>159154</v>
      </c>
      <c r="I19" s="195">
        <v>103</v>
      </c>
      <c r="J19" s="195">
        <f t="shared" si="0"/>
        <v>1545.1844660194174</v>
      </c>
      <c r="M19" s="258" t="s">
        <v>300</v>
      </c>
      <c r="N19" s="258">
        <v>2003</v>
      </c>
      <c r="O19" s="258">
        <v>2005</v>
      </c>
      <c r="P19" s="258" t="s">
        <v>296</v>
      </c>
      <c r="Q19" s="258">
        <v>104350</v>
      </c>
      <c r="R19" s="258"/>
      <c r="S19" s="258">
        <v>250000</v>
      </c>
      <c r="T19" s="258">
        <v>170</v>
      </c>
      <c r="U19" s="258"/>
    </row>
    <row r="20" spans="2:21" ht="17">
      <c r="B20" s="257" t="s">
        <v>300</v>
      </c>
      <c r="C20" s="195">
        <v>2010</v>
      </c>
      <c r="D20" s="195">
        <v>2012</v>
      </c>
      <c r="E20" s="195" t="s">
        <v>296</v>
      </c>
      <c r="F20" s="195">
        <v>161374</v>
      </c>
      <c r="G20" s="195">
        <v>150000</v>
      </c>
      <c r="H20" s="195">
        <v>161374</v>
      </c>
      <c r="I20" s="195">
        <v>103</v>
      </c>
      <c r="J20" s="195">
        <f t="shared" si="0"/>
        <v>1566.7378640776699</v>
      </c>
      <c r="M20" s="258" t="s">
        <v>301</v>
      </c>
      <c r="N20" s="258">
        <v>2003</v>
      </c>
      <c r="O20" s="258">
        <v>2005</v>
      </c>
      <c r="P20" s="258" t="s">
        <v>296</v>
      </c>
      <c r="Q20" s="258">
        <v>1019</v>
      </c>
      <c r="R20" s="258">
        <v>105369</v>
      </c>
      <c r="S20" s="258">
        <v>250000</v>
      </c>
      <c r="T20" s="258">
        <v>170</v>
      </c>
      <c r="U20" s="258">
        <f>R20/T20</f>
        <v>619.81764705882358</v>
      </c>
    </row>
    <row r="21" spans="2:21" ht="17">
      <c r="B21" s="257" t="s">
        <v>300</v>
      </c>
      <c r="C21" s="195">
        <v>2011</v>
      </c>
      <c r="D21" s="195">
        <v>2013</v>
      </c>
      <c r="E21" s="195" t="s">
        <v>296</v>
      </c>
      <c r="F21" s="195">
        <v>134519</v>
      </c>
      <c r="G21" s="195">
        <v>150000</v>
      </c>
      <c r="H21" s="195">
        <v>134519</v>
      </c>
      <c r="I21" s="195">
        <v>103</v>
      </c>
      <c r="J21" s="195">
        <f t="shared" si="0"/>
        <v>1306.009708737864</v>
      </c>
      <c r="M21" s="258" t="s">
        <v>300</v>
      </c>
      <c r="N21" s="258">
        <v>2004</v>
      </c>
      <c r="O21" s="258">
        <v>2006</v>
      </c>
      <c r="P21" s="258" t="s">
        <v>296</v>
      </c>
      <c r="Q21" s="258">
        <v>18901</v>
      </c>
      <c r="R21" s="258"/>
      <c r="S21" s="258">
        <v>250000</v>
      </c>
      <c r="T21" s="258">
        <v>170</v>
      </c>
      <c r="U21" s="258"/>
    </row>
    <row r="22" spans="2:21">
      <c r="G22" s="239" t="s">
        <v>195</v>
      </c>
      <c r="H22" s="239">
        <f>AVERAGE(H13:H21)</f>
        <v>132342</v>
      </c>
      <c r="I22" s="239"/>
      <c r="J22" s="239">
        <f>AVERAGE(J13:J21)</f>
        <v>1284.8737864077668</v>
      </c>
      <c r="M22" s="258" t="s">
        <v>301</v>
      </c>
      <c r="N22" s="258">
        <v>2004</v>
      </c>
      <c r="O22" s="258">
        <v>2006</v>
      </c>
      <c r="P22" s="258" t="s">
        <v>296</v>
      </c>
      <c r="Q22" s="258">
        <v>76</v>
      </c>
      <c r="R22" s="258"/>
      <c r="S22" s="258">
        <v>250000</v>
      </c>
      <c r="T22" s="258">
        <v>170</v>
      </c>
      <c r="U22" s="258"/>
    </row>
    <row r="23" spans="2:21">
      <c r="G23" s="239" t="s">
        <v>297</v>
      </c>
      <c r="H23" s="239">
        <f>STDEV(H13:H21)</f>
        <v>30881.304344214477</v>
      </c>
      <c r="I23" s="239"/>
      <c r="J23" s="239">
        <f>STDEV(J13:J21)</f>
        <v>299.81848877878224</v>
      </c>
      <c r="M23" s="258" t="s">
        <v>300</v>
      </c>
      <c r="N23" s="258">
        <v>2005</v>
      </c>
      <c r="O23" s="258">
        <v>2007</v>
      </c>
      <c r="P23" s="258" t="s">
        <v>296</v>
      </c>
      <c r="Q23" s="258">
        <v>118803</v>
      </c>
      <c r="R23" s="258"/>
      <c r="S23" s="258">
        <v>250000</v>
      </c>
      <c r="T23" s="258">
        <v>170</v>
      </c>
      <c r="U23" s="258"/>
    </row>
    <row r="24" spans="2:21">
      <c r="M24" s="258" t="s">
        <v>301</v>
      </c>
      <c r="N24" s="258">
        <v>2005</v>
      </c>
      <c r="O24" s="258">
        <v>2007</v>
      </c>
      <c r="P24" s="258" t="s">
        <v>296</v>
      </c>
      <c r="Q24" s="258">
        <v>20620</v>
      </c>
      <c r="R24" s="258">
        <v>139423</v>
      </c>
      <c r="S24" s="258">
        <v>250000</v>
      </c>
      <c r="T24" s="258">
        <v>170</v>
      </c>
      <c r="U24" s="258">
        <f>R24/T24</f>
        <v>820.13529411764705</v>
      </c>
    </row>
    <row r="25" spans="2:21">
      <c r="M25" s="258" t="s">
        <v>300</v>
      </c>
      <c r="N25" s="258">
        <v>2006</v>
      </c>
      <c r="O25" s="258">
        <v>2008</v>
      </c>
      <c r="P25" s="258" t="s">
        <v>296</v>
      </c>
      <c r="Q25" s="258">
        <v>259932</v>
      </c>
      <c r="R25" s="258">
        <v>259932</v>
      </c>
      <c r="S25" s="258">
        <v>250000</v>
      </c>
      <c r="T25" s="258">
        <v>170</v>
      </c>
      <c r="U25" s="258">
        <f>R25/T25</f>
        <v>1529.0117647058823</v>
      </c>
    </row>
    <row r="26" spans="2:21">
      <c r="M26" s="258" t="s">
        <v>300</v>
      </c>
      <c r="N26" s="258">
        <v>2007</v>
      </c>
      <c r="O26" s="258">
        <v>2009</v>
      </c>
      <c r="P26" s="258" t="s">
        <v>296</v>
      </c>
      <c r="Q26" s="258">
        <v>94198</v>
      </c>
      <c r="R26" s="258"/>
      <c r="S26" s="258">
        <v>250000</v>
      </c>
      <c r="T26" s="258">
        <v>170</v>
      </c>
      <c r="U26" s="258"/>
    </row>
    <row r="27" spans="2:21">
      <c r="M27" s="258" t="s">
        <v>301</v>
      </c>
      <c r="N27" s="258">
        <v>2007</v>
      </c>
      <c r="O27" s="258">
        <v>2009</v>
      </c>
      <c r="P27" s="258" t="s">
        <v>296</v>
      </c>
      <c r="Q27" s="258">
        <v>52354</v>
      </c>
      <c r="R27" s="258">
        <v>146552</v>
      </c>
      <c r="S27" s="258">
        <v>250000</v>
      </c>
      <c r="T27" s="258">
        <v>170</v>
      </c>
      <c r="U27" s="258">
        <f>R27/T27</f>
        <v>862.07058823529417</v>
      </c>
    </row>
    <row r="28" spans="2:21">
      <c r="M28" s="258" t="s">
        <v>300</v>
      </c>
      <c r="N28" s="258">
        <v>2008</v>
      </c>
      <c r="O28" s="258">
        <v>2010</v>
      </c>
      <c r="P28" s="258" t="s">
        <v>296</v>
      </c>
      <c r="Q28" s="258">
        <v>41819</v>
      </c>
      <c r="R28" s="258"/>
      <c r="S28" s="258">
        <v>250000</v>
      </c>
      <c r="T28" s="258">
        <v>170</v>
      </c>
      <c r="U28" s="258"/>
    </row>
    <row r="29" spans="2:21">
      <c r="M29" s="258" t="s">
        <v>301</v>
      </c>
      <c r="N29" s="258">
        <v>2008</v>
      </c>
      <c r="O29" s="258">
        <v>2010</v>
      </c>
      <c r="P29" s="258" t="s">
        <v>296</v>
      </c>
      <c r="Q29" s="258">
        <v>190531</v>
      </c>
      <c r="R29" s="258">
        <v>232350</v>
      </c>
      <c r="S29" s="258">
        <v>250000</v>
      </c>
      <c r="T29" s="258">
        <v>170</v>
      </c>
      <c r="U29" s="258">
        <f>R29/T29</f>
        <v>1366.7647058823529</v>
      </c>
    </row>
    <row r="30" spans="2:21">
      <c r="M30" s="258" t="s">
        <v>300</v>
      </c>
      <c r="N30" s="258">
        <v>2009</v>
      </c>
      <c r="O30" s="258">
        <v>2011</v>
      </c>
      <c r="P30" s="258" t="s">
        <v>296</v>
      </c>
      <c r="Q30" s="258">
        <v>189268</v>
      </c>
      <c r="R30" s="258"/>
      <c r="S30" s="258">
        <v>250000</v>
      </c>
      <c r="T30" s="258">
        <v>170</v>
      </c>
      <c r="U30" s="258"/>
    </row>
    <row r="31" spans="2:21">
      <c r="M31" s="258" t="s">
        <v>301</v>
      </c>
      <c r="N31" s="258">
        <v>2009</v>
      </c>
      <c r="O31" s="258">
        <v>2011</v>
      </c>
      <c r="P31" s="258" t="s">
        <v>296</v>
      </c>
      <c r="Q31" s="258">
        <v>53114</v>
      </c>
      <c r="R31" s="258">
        <v>242382</v>
      </c>
      <c r="S31" s="258">
        <v>250000</v>
      </c>
      <c r="T31" s="258">
        <v>170</v>
      </c>
      <c r="U31" s="258">
        <f>R31/T31</f>
        <v>1425.7764705882353</v>
      </c>
    </row>
    <row r="32" spans="2:21">
      <c r="M32" s="258" t="s">
        <v>300</v>
      </c>
      <c r="N32" s="258">
        <v>2010</v>
      </c>
      <c r="O32" s="258">
        <v>2012</v>
      </c>
      <c r="P32" s="258" t="s">
        <v>296</v>
      </c>
      <c r="Q32" s="258">
        <v>285737</v>
      </c>
      <c r="R32" s="258">
        <v>285737</v>
      </c>
      <c r="S32" s="258">
        <v>250000</v>
      </c>
      <c r="T32" s="258">
        <v>170</v>
      </c>
      <c r="U32" s="258">
        <f>R32/T32</f>
        <v>1680.8058823529411</v>
      </c>
    </row>
    <row r="33" spans="13:21">
      <c r="M33" s="258" t="s">
        <v>300</v>
      </c>
      <c r="N33" s="258">
        <v>2011</v>
      </c>
      <c r="O33" s="258">
        <v>2013</v>
      </c>
      <c r="P33" s="258" t="s">
        <v>296</v>
      </c>
      <c r="Q33" s="258">
        <v>135308</v>
      </c>
      <c r="R33" s="258"/>
      <c r="S33" s="258">
        <v>250000</v>
      </c>
      <c r="T33" s="258">
        <v>170</v>
      </c>
      <c r="U33" s="258"/>
    </row>
    <row r="34" spans="13:21">
      <c r="M34" s="258" t="s">
        <v>301</v>
      </c>
      <c r="N34" s="258">
        <v>2011</v>
      </c>
      <c r="O34" s="258">
        <v>2013</v>
      </c>
      <c r="P34" s="258" t="s">
        <v>296</v>
      </c>
      <c r="Q34" s="258">
        <v>155264</v>
      </c>
      <c r="R34" s="258">
        <v>290572</v>
      </c>
      <c r="S34" s="258">
        <v>250000</v>
      </c>
      <c r="T34" s="258">
        <v>170</v>
      </c>
      <c r="U34" s="258">
        <f>R34/T34</f>
        <v>1709.2470588235294</v>
      </c>
    </row>
    <row r="35" spans="13:21">
      <c r="M35"/>
      <c r="Q35" s="239" t="s">
        <v>195</v>
      </c>
      <c r="R35" s="239">
        <f>AVERAGE(R12:R34)</f>
        <v>208427.2</v>
      </c>
      <c r="S35" s="239"/>
      <c r="T35" s="239"/>
      <c r="U35" s="239">
        <f>AVERAGE(U12:U34)</f>
        <v>1226.0423529411764</v>
      </c>
    </row>
    <row r="36" spans="13:21">
      <c r="M36"/>
      <c r="Q36" s="239" t="s">
        <v>166</v>
      </c>
      <c r="R36" s="239">
        <f>STDEV(R12:R34)</f>
        <v>67630.872350165955</v>
      </c>
      <c r="S36" s="239"/>
      <c r="T36" s="239"/>
      <c r="U36" s="239">
        <f>STDEV(U12:U34)</f>
        <v>397.82866088332918</v>
      </c>
    </row>
    <row r="37" spans="13:21">
      <c r="M37"/>
    </row>
    <row r="38" spans="13:21">
      <c r="M38"/>
    </row>
    <row r="39" spans="13:21">
      <c r="M39"/>
    </row>
    <row r="40" spans="13:21">
      <c r="M40"/>
    </row>
    <row r="41" spans="13:21">
      <c r="M41"/>
    </row>
    <row r="42" spans="13:21">
      <c r="M42"/>
    </row>
    <row r="43" spans="13:21">
      <c r="M43"/>
    </row>
    <row r="44" spans="13:21">
      <c r="M44"/>
    </row>
    <row r="45" spans="13:21">
      <c r="M45"/>
    </row>
    <row r="46" spans="13:21">
      <c r="M46"/>
    </row>
    <row r="47" spans="13:21">
      <c r="M47"/>
    </row>
    <row r="48" spans="13:21">
      <c r="M48"/>
    </row>
    <row r="49" spans="13:13">
      <c r="M49"/>
    </row>
    <row r="50" spans="13:13">
      <c r="M50"/>
    </row>
    <row r="51" spans="13:13">
      <c r="M51"/>
    </row>
    <row r="52" spans="13:13">
      <c r="M52"/>
    </row>
    <row r="53" spans="13:13">
      <c r="M53"/>
    </row>
    <row r="54" spans="13:13">
      <c r="M54"/>
    </row>
    <row r="55" spans="13:13">
      <c r="M55"/>
    </row>
  </sheetData>
  <mergeCells count="2">
    <mergeCell ref="B10:J10"/>
    <mergeCell ref="M10:U10"/>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EEEA76-2D0E-164D-BC16-A3E8F4EE9197}">
  <sheetPr codeName="Sheet13"/>
  <dimension ref="A1:O35"/>
  <sheetViews>
    <sheetView zoomScale="134" zoomScaleNormal="134" workbookViewId="0">
      <selection activeCell="I24" sqref="I24"/>
    </sheetView>
  </sheetViews>
  <sheetFormatPr baseColWidth="10" defaultColWidth="11" defaultRowHeight="16"/>
  <cols>
    <col min="1" max="1" width="22.5" customWidth="1"/>
    <col min="2" max="2" width="22.1640625" bestFit="1" customWidth="1"/>
    <col min="3" max="3" width="18" customWidth="1"/>
    <col min="4" max="4" width="18.6640625" customWidth="1"/>
  </cols>
  <sheetData>
    <row r="1" spans="1:15" ht="21">
      <c r="A1" s="67" t="s">
        <v>170</v>
      </c>
      <c r="B1" s="1"/>
      <c r="C1" s="1"/>
      <c r="D1" s="1"/>
      <c r="E1" s="1"/>
      <c r="F1" s="1"/>
      <c r="G1" s="102" t="s">
        <v>178</v>
      </c>
      <c r="H1" s="1"/>
      <c r="I1" s="1"/>
      <c r="J1" s="1"/>
      <c r="K1" s="1"/>
      <c r="L1" s="1"/>
      <c r="M1" s="1"/>
      <c r="N1" s="1"/>
    </row>
    <row r="2" spans="1:15" s="104" customFormat="1">
      <c r="A2" s="105" t="s">
        <v>43</v>
      </c>
      <c r="B2" s="2" t="s">
        <v>14</v>
      </c>
      <c r="C2" s="92" t="s">
        <v>15</v>
      </c>
      <c r="D2" s="92" t="s">
        <v>16</v>
      </c>
      <c r="E2" s="103"/>
      <c r="F2" s="103"/>
      <c r="G2" s="103"/>
      <c r="H2" s="102"/>
      <c r="I2" s="103"/>
      <c r="J2" s="103"/>
      <c r="K2" s="103"/>
      <c r="L2" s="103"/>
      <c r="M2" s="103"/>
      <c r="N2" s="103"/>
      <c r="O2" s="103"/>
    </row>
    <row r="3" spans="1:15" s="104" customFormat="1">
      <c r="A3" s="104" t="s">
        <v>25</v>
      </c>
      <c r="B3" s="106" t="s">
        <v>179</v>
      </c>
      <c r="C3" s="107">
        <f>L12</f>
        <v>0.67600000000000005</v>
      </c>
      <c r="D3" s="107">
        <f>O12</f>
        <v>0.14189382993759533</v>
      </c>
      <c r="E3" s="103"/>
      <c r="F3" s="103"/>
      <c r="G3" s="103"/>
      <c r="H3" s="102"/>
      <c r="I3" s="103"/>
      <c r="J3" s="103"/>
      <c r="K3" s="103"/>
      <c r="L3" s="103"/>
      <c r="M3" s="103"/>
      <c r="N3" s="103"/>
      <c r="O3" s="103"/>
    </row>
    <row r="4" spans="1:15" s="104" customFormat="1">
      <c r="A4" s="106" t="s">
        <v>44</v>
      </c>
      <c r="B4" s="106" t="s">
        <v>179</v>
      </c>
      <c r="C4" s="107">
        <f>L13</f>
        <v>0.44700000000000001</v>
      </c>
      <c r="D4" s="107">
        <f>O13</f>
        <v>0.13194452991450242</v>
      </c>
      <c r="E4" s="103"/>
      <c r="F4" s="103"/>
      <c r="G4" s="102"/>
      <c r="H4" s="103"/>
      <c r="I4" s="103"/>
      <c r="J4" s="103"/>
      <c r="K4" s="103"/>
      <c r="L4" s="103"/>
      <c r="M4" s="103"/>
      <c r="N4" s="103"/>
    </row>
    <row r="5" spans="1:15" s="104" customFormat="1">
      <c r="A5" s="90"/>
      <c r="B5" s="103"/>
      <c r="C5" s="103"/>
      <c r="D5" s="103"/>
      <c r="E5" s="103"/>
      <c r="F5" s="103"/>
      <c r="G5" s="102"/>
      <c r="H5" s="103"/>
      <c r="I5" s="103"/>
      <c r="J5" s="103"/>
      <c r="K5" s="103"/>
      <c r="L5" s="103"/>
      <c r="M5" s="103"/>
      <c r="N5" s="103"/>
    </row>
    <row r="6" spans="1:15">
      <c r="A6" t="s">
        <v>171</v>
      </c>
    </row>
    <row r="9" spans="1:15" ht="50" customHeight="1">
      <c r="B9" s="93" t="s">
        <v>43</v>
      </c>
      <c r="C9" s="94" t="s">
        <v>172</v>
      </c>
      <c r="D9" s="94" t="s">
        <v>173</v>
      </c>
      <c r="E9" s="94" t="s">
        <v>174</v>
      </c>
      <c r="F9" s="94" t="s">
        <v>175</v>
      </c>
      <c r="G9" s="94" t="s">
        <v>176</v>
      </c>
    </row>
    <row r="10" spans="1:15" ht="24">
      <c r="B10" s="95" t="s">
        <v>25</v>
      </c>
      <c r="C10" s="96">
        <v>2000</v>
      </c>
      <c r="D10" s="96">
        <v>0.47599999999999998</v>
      </c>
      <c r="E10" s="96">
        <v>1.4E-2</v>
      </c>
      <c r="F10" s="96">
        <v>0.44800000000000001</v>
      </c>
      <c r="G10" s="96">
        <v>0.504</v>
      </c>
      <c r="I10" s="289" t="s">
        <v>177</v>
      </c>
      <c r="J10" s="289"/>
      <c r="K10" s="289"/>
      <c r="L10" s="289"/>
      <c r="M10" s="289"/>
      <c r="N10" s="289"/>
      <c r="O10" s="289"/>
    </row>
    <row r="11" spans="1:15">
      <c r="B11" s="95" t="s">
        <v>25</v>
      </c>
      <c r="C11" s="96">
        <v>2001</v>
      </c>
      <c r="D11" s="96">
        <v>0.62</v>
      </c>
      <c r="E11" s="96">
        <v>6.0000000000000001E-3</v>
      </c>
      <c r="F11" s="96">
        <v>0.60899999999999999</v>
      </c>
      <c r="G11" s="96">
        <v>0.63100000000000001</v>
      </c>
      <c r="I11" s="97" t="s">
        <v>43</v>
      </c>
      <c r="J11" s="98" t="s">
        <v>152</v>
      </c>
      <c r="K11" s="98" t="s">
        <v>153</v>
      </c>
      <c r="L11" s="98" t="s">
        <v>154</v>
      </c>
      <c r="M11" s="98" t="s">
        <v>155</v>
      </c>
      <c r="N11" s="98" t="s">
        <v>156</v>
      </c>
      <c r="O11" s="98" t="s">
        <v>166</v>
      </c>
    </row>
    <row r="12" spans="1:15">
      <c r="B12" s="95" t="s">
        <v>25</v>
      </c>
      <c r="C12" s="96">
        <v>2002</v>
      </c>
      <c r="D12" s="96">
        <v>0.76300000000000001</v>
      </c>
      <c r="E12" s="96">
        <v>1.7000000000000001E-2</v>
      </c>
      <c r="F12" s="96">
        <v>0.72799999999999998</v>
      </c>
      <c r="G12" s="96">
        <v>0.79500000000000004</v>
      </c>
      <c r="I12" s="97" t="s">
        <v>25</v>
      </c>
      <c r="J12" s="99">
        <f>MIN($D$10:$D$22)</f>
        <v>0.39900000000000002</v>
      </c>
      <c r="K12" s="99">
        <f>PERCENTILE($D$10:$D$22, 0.25)</f>
        <v>0.496</v>
      </c>
      <c r="L12" s="99">
        <f>PERCENTILE($D$10:$D$22, 0.5)</f>
        <v>0.67600000000000005</v>
      </c>
      <c r="M12" s="99">
        <f>PERCENTILE($D$10:$D$22, 0.75)</f>
        <v>0.751</v>
      </c>
      <c r="N12" s="99">
        <f>MAX($D$10:$D$22)</f>
        <v>0.77300000000000002</v>
      </c>
      <c r="O12" s="99">
        <f>STDEV($D$10:$D$22)</f>
        <v>0.14189382993759533</v>
      </c>
    </row>
    <row r="13" spans="1:15">
      <c r="B13" s="95" t="s">
        <v>25</v>
      </c>
      <c r="C13" s="96">
        <v>2003</v>
      </c>
      <c r="D13" s="96">
        <v>0.496</v>
      </c>
      <c r="E13" s="96">
        <v>1.4E-2</v>
      </c>
      <c r="F13" s="96">
        <v>0.46899999999999997</v>
      </c>
      <c r="G13" s="96">
        <v>0.52300000000000002</v>
      </c>
      <c r="I13" s="97" t="s">
        <v>44</v>
      </c>
      <c r="J13" s="99">
        <f>MIN($D$23:$D$35)</f>
        <v>0.17799999999999999</v>
      </c>
      <c r="K13" s="99">
        <f>PERCENTILE($D$23:$D$35, 0.25)</f>
        <v>0.40500000000000003</v>
      </c>
      <c r="L13" s="99">
        <f>PERCENTILE($D$23:$D$35, 0.5)</f>
        <v>0.44700000000000001</v>
      </c>
      <c r="M13" s="99">
        <f>PERCENTILE($D$23:$D$35, 0.75)</f>
        <v>0.52300000000000002</v>
      </c>
      <c r="N13" s="99">
        <f>MAX($D$23:$D$35)</f>
        <v>0.7</v>
      </c>
      <c r="O13" s="99">
        <f>STDEV($D$23:$D$35)</f>
        <v>0.13194452991450242</v>
      </c>
    </row>
    <row r="14" spans="1:15">
      <c r="B14" s="95" t="s">
        <v>25</v>
      </c>
      <c r="C14" s="96">
        <v>2004</v>
      </c>
      <c r="D14" s="96">
        <v>0.40400000000000003</v>
      </c>
      <c r="E14" s="96">
        <v>2.1000000000000001E-2</v>
      </c>
      <c r="F14" s="96">
        <v>0.36499999999999999</v>
      </c>
      <c r="G14" s="96">
        <v>0.44500000000000001</v>
      </c>
    </row>
    <row r="15" spans="1:15">
      <c r="B15" s="95" t="s">
        <v>25</v>
      </c>
      <c r="C15" s="96">
        <v>2005</v>
      </c>
      <c r="D15" s="96">
        <v>0.39900000000000002</v>
      </c>
      <c r="E15" s="96">
        <v>1.9E-2</v>
      </c>
      <c r="F15" s="96">
        <v>0.36199999999999999</v>
      </c>
      <c r="G15" s="96">
        <v>0.437</v>
      </c>
    </row>
    <row r="16" spans="1:15">
      <c r="B16" s="95" t="s">
        <v>25</v>
      </c>
      <c r="C16" s="96">
        <v>2006</v>
      </c>
      <c r="D16" s="96">
        <v>0.67600000000000005</v>
      </c>
      <c r="E16" s="96">
        <v>4.2999999999999997E-2</v>
      </c>
      <c r="F16" s="96">
        <v>0.58699999999999997</v>
      </c>
      <c r="G16" s="96">
        <v>0.754</v>
      </c>
    </row>
    <row r="17" spans="2:7">
      <c r="B17" s="95" t="s">
        <v>25</v>
      </c>
      <c r="C17" s="96">
        <v>2007</v>
      </c>
      <c r="D17" s="96">
        <v>0.73099999999999998</v>
      </c>
      <c r="E17" s="96">
        <v>4.2999999999999997E-2</v>
      </c>
      <c r="F17" s="96">
        <v>0.63900000000000001</v>
      </c>
      <c r="G17" s="96">
        <v>0.80600000000000005</v>
      </c>
    </row>
    <row r="18" spans="2:7">
      <c r="B18" s="95" t="s">
        <v>25</v>
      </c>
      <c r="C18" s="96">
        <v>2008</v>
      </c>
      <c r="D18" s="96">
        <v>0.77300000000000002</v>
      </c>
      <c r="E18" s="96">
        <v>3.5000000000000003E-2</v>
      </c>
      <c r="F18" s="96">
        <v>0.69799999999999995</v>
      </c>
      <c r="G18" s="96">
        <v>0.83399999999999996</v>
      </c>
    </row>
    <row r="19" spans="2:7">
      <c r="B19" s="95" t="s">
        <v>25</v>
      </c>
      <c r="C19" s="96">
        <v>2009</v>
      </c>
      <c r="D19" s="96">
        <v>0.749</v>
      </c>
      <c r="E19" s="96">
        <v>4.2000000000000003E-2</v>
      </c>
      <c r="F19" s="96">
        <v>0.65800000000000003</v>
      </c>
      <c r="G19" s="96">
        <v>0.82199999999999995</v>
      </c>
    </row>
    <row r="20" spans="2:7">
      <c r="B20" s="95" t="s">
        <v>25</v>
      </c>
      <c r="C20" s="96">
        <v>2010</v>
      </c>
      <c r="D20" s="96">
        <v>0.751</v>
      </c>
      <c r="E20" s="96">
        <v>4.9000000000000002E-2</v>
      </c>
      <c r="F20" s="96">
        <v>0.64300000000000002</v>
      </c>
      <c r="G20" s="96">
        <v>0.83499999999999996</v>
      </c>
    </row>
    <row r="21" spans="2:7">
      <c r="B21" s="95" t="s">
        <v>25</v>
      </c>
      <c r="C21" s="96">
        <v>2011</v>
      </c>
      <c r="D21" s="96">
        <v>0.75700000000000001</v>
      </c>
      <c r="E21" s="96">
        <v>4.4999999999999998E-2</v>
      </c>
      <c r="F21" s="96">
        <v>0.65800000000000003</v>
      </c>
      <c r="G21" s="96">
        <v>0.83499999999999996</v>
      </c>
    </row>
    <row r="22" spans="2:7">
      <c r="B22" s="95" t="s">
        <v>25</v>
      </c>
      <c r="C22" s="96">
        <v>2012</v>
      </c>
      <c r="D22" s="96">
        <v>0.64400000000000002</v>
      </c>
      <c r="E22" s="96">
        <v>0.05</v>
      </c>
      <c r="F22" s="96">
        <v>0.54200000000000004</v>
      </c>
      <c r="G22" s="96">
        <v>0.73399999999999999</v>
      </c>
    </row>
    <row r="23" spans="2:7">
      <c r="B23" s="100" t="s">
        <v>44</v>
      </c>
      <c r="C23" s="101">
        <v>2000</v>
      </c>
      <c r="D23" s="101">
        <v>0.38600000000000001</v>
      </c>
      <c r="E23" s="101">
        <v>2.4E-2</v>
      </c>
      <c r="F23" s="101">
        <v>0.34200000000000003</v>
      </c>
      <c r="G23" s="101">
        <v>0.434</v>
      </c>
    </row>
    <row r="24" spans="2:7">
      <c r="B24" s="100" t="s">
        <v>44</v>
      </c>
      <c r="C24" s="101">
        <v>2001</v>
      </c>
      <c r="D24" s="101">
        <v>0.44700000000000001</v>
      </c>
      <c r="E24" s="101">
        <v>2.4E-2</v>
      </c>
      <c r="F24" s="101">
        <v>0.4</v>
      </c>
      <c r="G24" s="101">
        <v>0.495</v>
      </c>
    </row>
    <row r="25" spans="2:7">
      <c r="B25" s="100" t="s">
        <v>44</v>
      </c>
      <c r="C25" s="101">
        <v>2002</v>
      </c>
      <c r="D25" s="101">
        <v>0.434</v>
      </c>
      <c r="E25" s="101">
        <v>0.02</v>
      </c>
      <c r="F25" s="101">
        <v>0.39500000000000002</v>
      </c>
      <c r="G25" s="101">
        <v>0.47499999999999998</v>
      </c>
    </row>
    <row r="26" spans="2:7">
      <c r="B26" s="100" t="s">
        <v>44</v>
      </c>
      <c r="C26" s="101">
        <v>2003</v>
      </c>
      <c r="D26" s="101">
        <v>0.40500000000000003</v>
      </c>
      <c r="E26" s="101">
        <v>1.7000000000000001E-2</v>
      </c>
      <c r="F26" s="101">
        <v>0.372</v>
      </c>
      <c r="G26" s="101">
        <v>0.44</v>
      </c>
    </row>
    <row r="27" spans="2:7">
      <c r="B27" s="100" t="s">
        <v>44</v>
      </c>
      <c r="C27" s="101">
        <v>2004</v>
      </c>
      <c r="D27" s="101">
        <v>0.36499999999999999</v>
      </c>
      <c r="E27" s="101">
        <v>2.1999999999999999E-2</v>
      </c>
      <c r="F27" s="101">
        <v>0.32400000000000001</v>
      </c>
      <c r="G27" s="101">
        <v>0.40899999999999997</v>
      </c>
    </row>
    <row r="28" spans="2:7">
      <c r="B28" s="100" t="s">
        <v>44</v>
      </c>
      <c r="C28" s="101">
        <v>2005</v>
      </c>
      <c r="D28" s="101">
        <v>0.17799999999999999</v>
      </c>
      <c r="E28" s="101">
        <v>1.4E-2</v>
      </c>
      <c r="F28" s="101">
        <v>0.152</v>
      </c>
      <c r="G28" s="101">
        <v>0.20899999999999999</v>
      </c>
    </row>
    <row r="29" spans="2:7">
      <c r="B29" s="100" t="s">
        <v>44</v>
      </c>
      <c r="C29" s="101">
        <v>2006</v>
      </c>
      <c r="D29" s="101">
        <v>0.7</v>
      </c>
      <c r="E29" s="101">
        <v>0.13400000000000001</v>
      </c>
      <c r="F29" s="101">
        <v>0.4</v>
      </c>
      <c r="G29" s="101">
        <v>0.89100000000000001</v>
      </c>
    </row>
    <row r="30" spans="2:7">
      <c r="B30" s="100" t="s">
        <v>44</v>
      </c>
      <c r="C30" s="101">
        <v>2007</v>
      </c>
      <c r="D30" s="101">
        <v>0.61399999999999999</v>
      </c>
      <c r="E30" s="101">
        <v>5.6000000000000001E-2</v>
      </c>
      <c r="F30" s="101">
        <v>0.5</v>
      </c>
      <c r="G30" s="101">
        <v>0.71599999999999997</v>
      </c>
    </row>
    <row r="31" spans="2:7">
      <c r="B31" s="100" t="s">
        <v>44</v>
      </c>
      <c r="C31" s="101">
        <v>2008</v>
      </c>
      <c r="D31" s="101">
        <v>0.434</v>
      </c>
      <c r="E31" s="101">
        <v>3.5999999999999997E-2</v>
      </c>
      <c r="F31" s="101">
        <v>0.36599999999999999</v>
      </c>
      <c r="G31" s="101">
        <v>0.504</v>
      </c>
    </row>
    <row r="32" spans="2:7">
      <c r="B32" s="100" t="s">
        <v>44</v>
      </c>
      <c r="C32" s="101">
        <v>2009</v>
      </c>
      <c r="D32" s="101">
        <v>0.52300000000000002</v>
      </c>
      <c r="E32" s="101">
        <v>5.5E-2</v>
      </c>
      <c r="F32" s="101">
        <v>0.41499999999999998</v>
      </c>
      <c r="G32" s="101">
        <v>0.629</v>
      </c>
    </row>
    <row r="33" spans="2:7">
      <c r="B33" s="100" t="s">
        <v>44</v>
      </c>
      <c r="C33" s="101">
        <v>2010</v>
      </c>
      <c r="D33" s="101">
        <v>0.61399999999999999</v>
      </c>
      <c r="E33" s="101">
        <v>0.11799999999999999</v>
      </c>
      <c r="F33" s="101">
        <v>0.374</v>
      </c>
      <c r="G33" s="101">
        <v>0.80900000000000005</v>
      </c>
    </row>
    <row r="34" spans="2:7">
      <c r="B34" s="100" t="s">
        <v>44</v>
      </c>
      <c r="C34" s="101">
        <v>2011</v>
      </c>
      <c r="D34" s="101">
        <v>0.47899999999999998</v>
      </c>
      <c r="E34" s="101">
        <v>4.2000000000000003E-2</v>
      </c>
      <c r="F34" s="101">
        <v>0.39800000000000002</v>
      </c>
      <c r="G34" s="101">
        <v>0.56000000000000005</v>
      </c>
    </row>
    <row r="35" spans="2:7">
      <c r="B35" s="100" t="s">
        <v>44</v>
      </c>
      <c r="C35" s="101">
        <v>2012</v>
      </c>
      <c r="D35" s="101">
        <v>0.502</v>
      </c>
      <c r="E35" s="101">
        <v>4.7E-2</v>
      </c>
      <c r="F35" s="101">
        <v>0.41099999999999998</v>
      </c>
      <c r="G35" s="101">
        <v>0.59199999999999997</v>
      </c>
    </row>
  </sheetData>
  <mergeCells count="1">
    <mergeCell ref="I10:O10"/>
  </mergeCells>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362F1C-4182-CC49-BFB6-79F0ED141127}">
  <sheetPr codeName="Sheet14"/>
  <dimension ref="A1:Q73"/>
  <sheetViews>
    <sheetView topLeftCell="A21" zoomScale="125" zoomScaleNormal="125" workbookViewId="0">
      <selection activeCell="B29" sqref="B29"/>
    </sheetView>
  </sheetViews>
  <sheetFormatPr baseColWidth="10" defaultColWidth="11" defaultRowHeight="16"/>
  <cols>
    <col min="1" max="1" width="15.1640625" customWidth="1"/>
    <col min="2" max="2" width="22" customWidth="1"/>
    <col min="3" max="3" width="17" customWidth="1"/>
    <col min="4" max="4" width="14.83203125" bestFit="1" customWidth="1"/>
    <col min="5" max="5" width="9.83203125" customWidth="1"/>
    <col min="6" max="7" width="12.5" bestFit="1" customWidth="1"/>
    <col min="8" max="8" width="6.83203125" customWidth="1"/>
    <col min="9" max="9" width="9.1640625" bestFit="1" customWidth="1"/>
    <col min="10" max="10" width="10" customWidth="1"/>
    <col min="14" max="15" width="12.1640625" customWidth="1"/>
  </cols>
  <sheetData>
    <row r="1" spans="1:7" s="163" customFormat="1" ht="21">
      <c r="A1" s="163" t="s">
        <v>212</v>
      </c>
      <c r="G1" s="87" t="s">
        <v>233</v>
      </c>
    </row>
    <row r="2" spans="1:7" s="108" customFormat="1">
      <c r="A2" s="185" t="s">
        <v>43</v>
      </c>
      <c r="B2" s="185" t="s">
        <v>14</v>
      </c>
      <c r="C2" s="184" t="s">
        <v>15</v>
      </c>
      <c r="D2" s="184" t="s">
        <v>16</v>
      </c>
    </row>
    <row r="3" spans="1:7" s="186" customFormat="1" ht="15">
      <c r="A3" s="186" t="s">
        <v>25</v>
      </c>
      <c r="B3" s="185" t="s">
        <v>234</v>
      </c>
      <c r="C3" s="188">
        <f>N48</f>
        <v>0.95384615400000006</v>
      </c>
      <c r="D3" s="188">
        <f>N49</f>
        <v>3.7203925069351884E-2</v>
      </c>
    </row>
    <row r="4" spans="1:7" s="186" customFormat="1" ht="15">
      <c r="A4" s="186" t="s">
        <v>44</v>
      </c>
      <c r="B4" s="185" t="s">
        <v>234</v>
      </c>
      <c r="C4" s="188">
        <f>O48</f>
        <v>0.87248322099999998</v>
      </c>
      <c r="D4" s="188">
        <f>O49</f>
        <v>0.31474956378130858</v>
      </c>
    </row>
    <row r="5" spans="1:7" s="186" customFormat="1" ht="15"/>
    <row r="6" spans="1:7" s="186" customFormat="1" ht="15"/>
    <row r="7" spans="1:7" s="186" customFormat="1" ht="15"/>
    <row r="8" spans="1:7" s="186" customFormat="1" ht="15"/>
    <row r="9" spans="1:7" s="108" customFormat="1" ht="15"/>
    <row r="10" spans="1:7" s="108" customFormat="1" ht="15"/>
    <row r="11" spans="1:7" s="108" customFormat="1" ht="15"/>
    <row r="12" spans="1:7" s="108" customFormat="1" ht="15"/>
    <row r="13" spans="1:7" s="108" customFormat="1" ht="15"/>
    <row r="14" spans="1:7" s="108" customFormat="1" ht="15"/>
    <row r="15" spans="1:7" s="108" customFormat="1" ht="15"/>
    <row r="16" spans="1:7" s="108" customFormat="1" ht="15"/>
    <row r="17" spans="2:14" s="108" customFormat="1" ht="15"/>
    <row r="18" spans="2:14" s="108" customFormat="1" ht="15"/>
    <row r="19" spans="2:14" s="108" customFormat="1" ht="15"/>
    <row r="20" spans="2:14" s="108" customFormat="1" ht="15"/>
    <row r="21" spans="2:14" s="108" customFormat="1" ht="15"/>
    <row r="22" spans="2:14" s="108" customFormat="1" ht="15"/>
    <row r="23" spans="2:14" s="108" customFormat="1" ht="15"/>
    <row r="24" spans="2:14" s="108" customFormat="1" ht="15"/>
    <row r="25" spans="2:14" s="108" customFormat="1" ht="15"/>
    <row r="26" spans="2:14" s="108" customFormat="1" ht="15"/>
    <row r="27" spans="2:14" s="108" customFormat="1" ht="15"/>
    <row r="28" spans="2:14" s="108" customFormat="1" ht="15"/>
    <row r="29" spans="2:14" ht="20" customHeight="1">
      <c r="C29" s="108" t="s">
        <v>180</v>
      </c>
    </row>
    <row r="30" spans="2:14" ht="24">
      <c r="B30" s="109"/>
      <c r="C30" s="109" t="s">
        <v>181</v>
      </c>
      <c r="M30" s="110" t="s">
        <v>182</v>
      </c>
      <c r="N30" s="111"/>
    </row>
    <row r="31" spans="2:14">
      <c r="B31" s="112" t="s">
        <v>43</v>
      </c>
      <c r="C31" s="112" t="s">
        <v>45</v>
      </c>
      <c r="D31" t="s">
        <v>158</v>
      </c>
      <c r="E31" s="112" t="s">
        <v>162</v>
      </c>
      <c r="F31" s="112" t="s">
        <v>183</v>
      </c>
      <c r="G31" s="112" t="s">
        <v>184</v>
      </c>
      <c r="H31" s="112" t="s">
        <v>185</v>
      </c>
      <c r="I31" s="112" t="s">
        <v>186</v>
      </c>
      <c r="J31" s="112" t="s">
        <v>187</v>
      </c>
      <c r="M31" s="113" t="s">
        <v>188</v>
      </c>
    </row>
    <row r="32" spans="2:14">
      <c r="B32" s="114" t="s">
        <v>25</v>
      </c>
      <c r="C32" s="114" t="s">
        <v>46</v>
      </c>
      <c r="D32" s="114" t="str">
        <f>B32&amp;"-"&amp;C32</f>
        <v>CC-Curr</v>
      </c>
      <c r="E32" s="114">
        <v>5</v>
      </c>
      <c r="F32" s="115">
        <v>12826.650535986901</v>
      </c>
      <c r="G32" s="116">
        <v>920.77424073279803</v>
      </c>
      <c r="H32" s="117">
        <f>G32/F32</f>
        <v>7.1786023806405391E-2</v>
      </c>
      <c r="I32" s="118">
        <f>F32*3831</f>
        <v>49138898.203365818</v>
      </c>
      <c r="J32" s="118">
        <f>G32*3831</f>
        <v>3527486.1162473494</v>
      </c>
      <c r="M32" s="113" t="s">
        <v>189</v>
      </c>
    </row>
    <row r="33" spans="2:17">
      <c r="B33" s="114" t="s">
        <v>25</v>
      </c>
      <c r="C33" s="114" t="s">
        <v>47</v>
      </c>
      <c r="D33" s="114" t="str">
        <f t="shared" ref="D33:D45" si="0">B33&amp;"-"&amp;C33</f>
        <v>CC-PNV</v>
      </c>
      <c r="E33" s="114">
        <v>5</v>
      </c>
      <c r="F33" s="116">
        <v>13362.072937773701</v>
      </c>
      <c r="G33" s="116">
        <v>950.68340055208705</v>
      </c>
      <c r="H33" s="117">
        <f t="shared" ref="H33:H45" si="1">G33/F33</f>
        <v>7.1147897858315656E-2</v>
      </c>
      <c r="I33" s="118">
        <f>F33*3831</f>
        <v>51190101.424611047</v>
      </c>
      <c r="J33" s="118">
        <f t="shared" ref="J33:J45" si="2">G33*3831</f>
        <v>3642068.1075150454</v>
      </c>
      <c r="M33" s="105" t="s">
        <v>190</v>
      </c>
    </row>
    <row r="34" spans="2:17">
      <c r="B34" s="114" t="s">
        <v>25</v>
      </c>
      <c r="C34" s="114" t="s">
        <v>48</v>
      </c>
      <c r="D34" s="114" t="str">
        <f t="shared" si="0"/>
        <v>CC-HiPr</v>
      </c>
      <c r="E34" s="114">
        <v>5</v>
      </c>
      <c r="F34" s="116">
        <v>12847.7534919348</v>
      </c>
      <c r="G34" s="116">
        <v>921.90374986498296</v>
      </c>
      <c r="H34" s="117">
        <f t="shared" si="1"/>
        <v>7.1756027265288805E-2</v>
      </c>
      <c r="I34" s="118">
        <f t="shared" ref="I34:I45" si="3">F34*3831</f>
        <v>49219743.62760222</v>
      </c>
      <c r="J34" s="118">
        <f t="shared" si="2"/>
        <v>3531813.2657327498</v>
      </c>
      <c r="M34" s="119" t="s">
        <v>126</v>
      </c>
      <c r="N34" s="120" t="s">
        <v>191</v>
      </c>
      <c r="O34" s="121" t="s">
        <v>192</v>
      </c>
    </row>
    <row r="35" spans="2:17">
      <c r="B35" s="114" t="s">
        <v>25</v>
      </c>
      <c r="C35" s="114" t="s">
        <v>193</v>
      </c>
      <c r="D35" s="114" t="str">
        <f t="shared" si="0"/>
        <v>CC-WidPNV</v>
      </c>
      <c r="E35" s="114">
        <v>5</v>
      </c>
      <c r="F35" s="116">
        <v>13362.072937773701</v>
      </c>
      <c r="G35" s="116">
        <v>950.68340055208705</v>
      </c>
      <c r="H35" s="117">
        <f t="shared" si="1"/>
        <v>7.1147897858315656E-2</v>
      </c>
      <c r="I35" s="118">
        <f t="shared" si="3"/>
        <v>51190101.424611047</v>
      </c>
      <c r="J35" s="118">
        <f t="shared" si="2"/>
        <v>3642068.1075150454</v>
      </c>
      <c r="M35" s="122">
        <v>2001</v>
      </c>
      <c r="N35" s="123">
        <v>0.94285714300000001</v>
      </c>
      <c r="O35" s="124"/>
    </row>
    <row r="36" spans="2:17">
      <c r="B36" s="114" t="s">
        <v>25</v>
      </c>
      <c r="C36" s="114" t="s">
        <v>49</v>
      </c>
      <c r="D36" s="114" t="str">
        <f t="shared" si="0"/>
        <v>CC-Clim</v>
      </c>
      <c r="E36" s="114">
        <v>5</v>
      </c>
      <c r="F36" s="116">
        <v>8199.6996749988793</v>
      </c>
      <c r="G36" s="116">
        <v>583.62926171337597</v>
      </c>
      <c r="H36" s="117">
        <f t="shared" si="1"/>
        <v>7.1176907063179209E-2</v>
      </c>
      <c r="I36" s="118">
        <f t="shared" si="3"/>
        <v>31413049.454920705</v>
      </c>
      <c r="J36" s="118">
        <f t="shared" si="2"/>
        <v>2235883.7016239432</v>
      </c>
      <c r="M36" s="122">
        <v>2002</v>
      </c>
      <c r="N36" s="123">
        <v>0.95384615400000006</v>
      </c>
      <c r="O36" s="124"/>
    </row>
    <row r="37" spans="2:17">
      <c r="B37" s="114" t="s">
        <v>25</v>
      </c>
      <c r="C37" s="114" t="s">
        <v>50</v>
      </c>
      <c r="D37" s="114" t="str">
        <f t="shared" si="0"/>
        <v>CC-ClimVeg</v>
      </c>
      <c r="E37" s="114">
        <v>5</v>
      </c>
      <c r="F37" s="116">
        <v>12761.698001598401</v>
      </c>
      <c r="G37" s="116">
        <v>917.32471467795699</v>
      </c>
      <c r="H37" s="117">
        <f t="shared" si="1"/>
        <v>7.1881086244405895E-2</v>
      </c>
      <c r="I37" s="118">
        <f t="shared" si="3"/>
        <v>48890065.044123471</v>
      </c>
      <c r="J37" s="118">
        <f t="shared" si="2"/>
        <v>3514270.9819312533</v>
      </c>
      <c r="M37" s="122">
        <v>2003</v>
      </c>
      <c r="N37" s="123">
        <v>0.88775510199999996</v>
      </c>
      <c r="O37" s="124"/>
    </row>
    <row r="38" spans="2:17">
      <c r="B38" s="114" t="s">
        <v>25</v>
      </c>
      <c r="C38" s="114" t="s">
        <v>51</v>
      </c>
      <c r="D38" s="114" t="str">
        <f t="shared" si="0"/>
        <v>CC-ClimVegWid</v>
      </c>
      <c r="E38" s="114">
        <v>5</v>
      </c>
      <c r="F38" s="116">
        <v>12977.356943741201</v>
      </c>
      <c r="G38" s="116">
        <v>928.93370355754098</v>
      </c>
      <c r="H38" s="117">
        <f t="shared" si="1"/>
        <v>7.1581116831771568E-2</v>
      </c>
      <c r="I38" s="118">
        <f t="shared" si="3"/>
        <v>49716254.451472543</v>
      </c>
      <c r="J38" s="118">
        <f t="shared" si="2"/>
        <v>3558745.0183289396</v>
      </c>
      <c r="M38" s="122">
        <v>2004</v>
      </c>
      <c r="N38" s="123">
        <v>1</v>
      </c>
      <c r="O38" s="124">
        <v>0.93684210499999998</v>
      </c>
    </row>
    <row r="39" spans="2:17">
      <c r="B39" s="125" t="s">
        <v>44</v>
      </c>
      <c r="C39" s="125" t="s">
        <v>46</v>
      </c>
      <c r="D39" s="125" t="str">
        <f t="shared" si="0"/>
        <v>UGR-Curr</v>
      </c>
      <c r="E39" s="125">
        <v>5</v>
      </c>
      <c r="F39" s="126">
        <v>14198.4529099341</v>
      </c>
      <c r="G39" s="127">
        <v>4854.51828502015</v>
      </c>
      <c r="H39" s="128">
        <f t="shared" si="1"/>
        <v>0.34190473538308064</v>
      </c>
      <c r="I39" s="129">
        <f t="shared" si="3"/>
        <v>54394273.097957537</v>
      </c>
      <c r="J39" s="129">
        <f t="shared" si="2"/>
        <v>18597659.549912196</v>
      </c>
      <c r="M39" s="122">
        <v>2005</v>
      </c>
      <c r="N39" s="123">
        <v>0.94444444400000005</v>
      </c>
      <c r="O39" s="124">
        <v>0.95238095199999995</v>
      </c>
    </row>
    <row r="40" spans="2:17">
      <c r="B40" s="125" t="s">
        <v>44</v>
      </c>
      <c r="C40" s="125" t="s">
        <v>47</v>
      </c>
      <c r="D40" s="125" t="str">
        <f t="shared" si="0"/>
        <v>UGR-PNV</v>
      </c>
      <c r="E40" s="125">
        <v>5</v>
      </c>
      <c r="F40" s="127">
        <v>25929.769799764701</v>
      </c>
      <c r="G40" s="127">
        <v>9327.3426234531307</v>
      </c>
      <c r="H40" s="128">
        <f t="shared" si="1"/>
        <v>0.35971559699453143</v>
      </c>
      <c r="I40" s="129">
        <f t="shared" si="3"/>
        <v>99336948.102898568</v>
      </c>
      <c r="J40" s="129">
        <f t="shared" si="2"/>
        <v>35733049.590448946</v>
      </c>
      <c r="M40" s="122">
        <v>2006</v>
      </c>
      <c r="N40" s="123">
        <v>0.88888888899999996</v>
      </c>
      <c r="O40" s="124"/>
    </row>
    <row r="41" spans="2:17">
      <c r="B41" s="125" t="s">
        <v>44</v>
      </c>
      <c r="C41" s="125" t="s">
        <v>48</v>
      </c>
      <c r="D41" s="125" t="str">
        <f t="shared" si="0"/>
        <v>UGR-HiPr</v>
      </c>
      <c r="E41" s="125">
        <v>5</v>
      </c>
      <c r="F41" s="127">
        <v>18379.231620512801</v>
      </c>
      <c r="G41" s="127">
        <v>6289.8193975570603</v>
      </c>
      <c r="H41" s="128">
        <f t="shared" si="1"/>
        <v>0.34222428485732131</v>
      </c>
      <c r="I41" s="129">
        <f t="shared" si="3"/>
        <v>70410836.338184536</v>
      </c>
      <c r="J41" s="129">
        <f t="shared" si="2"/>
        <v>24096298.112041097</v>
      </c>
      <c r="M41" s="122">
        <v>2008</v>
      </c>
      <c r="N41" s="123">
        <v>1</v>
      </c>
      <c r="O41" s="124"/>
    </row>
    <row r="42" spans="2:17">
      <c r="B42" s="125" t="s">
        <v>44</v>
      </c>
      <c r="C42" s="125" t="s">
        <v>193</v>
      </c>
      <c r="D42" s="125" t="str">
        <f t="shared" si="0"/>
        <v>UGR-WidPNV</v>
      </c>
      <c r="E42" s="125">
        <v>5</v>
      </c>
      <c r="F42" s="127">
        <v>25929.769799764701</v>
      </c>
      <c r="G42" s="127">
        <v>9327.3426234531307</v>
      </c>
      <c r="H42" s="128">
        <f t="shared" si="1"/>
        <v>0.35971559699453143</v>
      </c>
      <c r="I42" s="129">
        <f t="shared" si="3"/>
        <v>99336948.102898568</v>
      </c>
      <c r="J42" s="129">
        <f t="shared" si="2"/>
        <v>35733049.590448946</v>
      </c>
      <c r="M42" s="122">
        <v>2009</v>
      </c>
      <c r="N42" s="123">
        <v>0.95833333300000001</v>
      </c>
      <c r="O42" s="124">
        <v>0.175438596</v>
      </c>
    </row>
    <row r="43" spans="2:17">
      <c r="B43" s="125" t="s">
        <v>44</v>
      </c>
      <c r="C43" s="125" t="s">
        <v>49</v>
      </c>
      <c r="D43" s="125" t="str">
        <f t="shared" si="0"/>
        <v>UGR-Clim</v>
      </c>
      <c r="E43" s="125">
        <v>5</v>
      </c>
      <c r="F43" s="127">
        <v>5745.4034136742102</v>
      </c>
      <c r="G43" s="127">
        <v>2227.59233222685</v>
      </c>
      <c r="H43" s="128">
        <f t="shared" si="1"/>
        <v>0.38771730579007246</v>
      </c>
      <c r="I43" s="129">
        <f t="shared" si="3"/>
        <v>22010640.4777859</v>
      </c>
      <c r="J43" s="129">
        <f t="shared" si="2"/>
        <v>8533906.2247610614</v>
      </c>
      <c r="M43" s="122">
        <v>2010</v>
      </c>
      <c r="N43" s="123">
        <v>0.975247525</v>
      </c>
      <c r="O43" s="124">
        <v>0.89547038300000004</v>
      </c>
    </row>
    <row r="44" spans="2:17">
      <c r="B44" s="125" t="s">
        <v>44</v>
      </c>
      <c r="C44" s="125" t="s">
        <v>50</v>
      </c>
      <c r="D44" s="125" t="str">
        <f t="shared" si="0"/>
        <v>UGR-ClimVeg</v>
      </c>
      <c r="E44" s="125">
        <v>5</v>
      </c>
      <c r="F44" s="127">
        <v>14241.8943492611</v>
      </c>
      <c r="G44" s="127">
        <v>4876.7271907624399</v>
      </c>
      <c r="H44" s="128">
        <f t="shared" si="1"/>
        <v>0.34242124475635188</v>
      </c>
      <c r="I44" s="129">
        <f t="shared" si="3"/>
        <v>54560697.252019271</v>
      </c>
      <c r="J44" s="129">
        <f t="shared" si="2"/>
        <v>18682741.867810909</v>
      </c>
      <c r="M44" s="122">
        <v>2011</v>
      </c>
      <c r="N44" s="123">
        <v>0.95873015900000003</v>
      </c>
      <c r="O44" s="124">
        <v>0.87248322099999998</v>
      </c>
    </row>
    <row r="45" spans="2:17">
      <c r="B45" s="125" t="s">
        <v>44</v>
      </c>
      <c r="C45" s="125" t="s">
        <v>51</v>
      </c>
      <c r="D45" s="125" t="str">
        <f t="shared" si="0"/>
        <v>UGR-ClimVegWid</v>
      </c>
      <c r="E45" s="125">
        <v>5</v>
      </c>
      <c r="F45" s="127">
        <v>15632.0806959643</v>
      </c>
      <c r="G45" s="127">
        <v>5272.6517251332898</v>
      </c>
      <c r="H45" s="128">
        <f t="shared" si="1"/>
        <v>0.33729685943180415</v>
      </c>
      <c r="I45" s="129">
        <f t="shared" si="3"/>
        <v>59886501.146239229</v>
      </c>
      <c r="J45" s="129">
        <f t="shared" si="2"/>
        <v>20199528.758985635</v>
      </c>
      <c r="M45" s="122">
        <v>2012</v>
      </c>
      <c r="N45" s="123">
        <v>0.93103448300000002</v>
      </c>
      <c r="O45" s="124">
        <v>0.54761904800000005</v>
      </c>
    </row>
    <row r="46" spans="2:17">
      <c r="B46" s="162" t="s">
        <v>194</v>
      </c>
      <c r="C46" s="161"/>
      <c r="D46" s="161"/>
      <c r="E46" s="161"/>
      <c r="F46" s="161"/>
      <c r="G46" s="161"/>
      <c r="H46" s="161"/>
      <c r="I46" s="161"/>
      <c r="J46" s="161"/>
      <c r="M46" s="122">
        <v>2013</v>
      </c>
      <c r="N46" s="123"/>
      <c r="O46" s="124">
        <v>0.365853659</v>
      </c>
    </row>
    <row r="47" spans="2:17">
      <c r="L47" s="130"/>
      <c r="M47" s="131" t="s">
        <v>195</v>
      </c>
      <c r="N47" s="132">
        <f>AVERAGE(N35:N45)</f>
        <v>0.94919429381818177</v>
      </c>
      <c r="O47" s="132">
        <f>AVERAGE(O35:O46)</f>
        <v>0.67801256628571427</v>
      </c>
      <c r="P47" s="130"/>
    </row>
    <row r="48" spans="2:17">
      <c r="M48" s="131" t="s">
        <v>231</v>
      </c>
      <c r="N48" s="132">
        <f>MEDIAN(N35:N46)</f>
        <v>0.95384615400000006</v>
      </c>
      <c r="O48" s="132">
        <f>MEDIAN(O35:O46)</f>
        <v>0.87248322099999998</v>
      </c>
      <c r="P48" s="187" t="s">
        <v>232</v>
      </c>
      <c r="Q48" s="130"/>
    </row>
    <row r="49" spans="3:17">
      <c r="M49" s="131" t="s">
        <v>196</v>
      </c>
      <c r="N49" s="133">
        <f>STDEV(N35:N46)</f>
        <v>3.7203925069351884E-2</v>
      </c>
      <c r="O49" s="134">
        <f>STDEV(O35:O46)</f>
        <v>0.31474956378130858</v>
      </c>
    </row>
    <row r="50" spans="3:17">
      <c r="C50" s="113" t="s">
        <v>197</v>
      </c>
      <c r="M50" s="131" t="s">
        <v>185</v>
      </c>
      <c r="N50" s="133">
        <f>N49/N47</f>
        <v>3.9195268357226656E-2</v>
      </c>
      <c r="O50" s="134">
        <f>O49/O47</f>
        <v>0.46422379087391902</v>
      </c>
    </row>
    <row r="51" spans="3:17">
      <c r="C51" s="136" t="s">
        <v>199</v>
      </c>
      <c r="D51" s="137"/>
      <c r="E51" s="137"/>
      <c r="F51" s="137"/>
      <c r="G51" s="137"/>
      <c r="M51" s="131" t="s">
        <v>198</v>
      </c>
      <c r="N51" s="135">
        <v>0.96499999999999997</v>
      </c>
      <c r="O51" s="135">
        <v>0.68</v>
      </c>
    </row>
    <row r="52" spans="3:17">
      <c r="C52" s="136" t="s">
        <v>200</v>
      </c>
      <c r="D52" s="137"/>
      <c r="E52" s="137"/>
      <c r="F52" s="137"/>
      <c r="G52" s="137"/>
    </row>
    <row r="53" spans="3:17" ht="21">
      <c r="C53" s="139" t="s">
        <v>202</v>
      </c>
      <c r="D53" s="139" t="s">
        <v>44</v>
      </c>
      <c r="E53" s="139" t="s">
        <v>203</v>
      </c>
      <c r="F53" s="140" t="s">
        <v>25</v>
      </c>
      <c r="G53" s="140" t="s">
        <v>203</v>
      </c>
      <c r="M53" s="138" t="s">
        <v>201</v>
      </c>
      <c r="P53" s="81"/>
      <c r="Q53" s="81"/>
    </row>
    <row r="54" spans="3:17">
      <c r="C54" s="143">
        <v>100</v>
      </c>
      <c r="D54" s="144">
        <f t="shared" ref="D54:D60" si="4">C54/(1/$O$51+C54/$F$39)</f>
        <v>67.675882994238876</v>
      </c>
      <c r="E54" s="145">
        <f t="shared" ref="E54:E60" si="5">D54/C54</f>
        <v>0.67675882994238878</v>
      </c>
      <c r="F54" s="146">
        <f t="shared" ref="F54:F60" si="6">C54/(1/$N$51+C54/$F$32)</f>
        <v>95.779413330822976</v>
      </c>
      <c r="G54" s="147">
        <f>F54/C54</f>
        <v>0.95779413330822971</v>
      </c>
      <c r="M54" s="141" t="s">
        <v>204</v>
      </c>
      <c r="N54" s="142"/>
      <c r="O54" s="81"/>
      <c r="P54" s="150" t="s">
        <v>206</v>
      </c>
      <c r="Q54" s="150"/>
    </row>
    <row r="55" spans="3:17">
      <c r="C55" s="151">
        <v>199</v>
      </c>
      <c r="D55" s="152">
        <f t="shared" si="4"/>
        <v>134.04249249970266</v>
      </c>
      <c r="E55" s="132">
        <f t="shared" si="5"/>
        <v>0.67358036432011392</v>
      </c>
      <c r="F55" s="146">
        <f t="shared" si="6"/>
        <v>189.20234526515279</v>
      </c>
      <c r="G55" s="147">
        <f t="shared" ref="G55:G60" si="7">F55/C55</f>
        <v>0.95076555409624519</v>
      </c>
      <c r="M55" s="148"/>
      <c r="N55" s="149" t="s">
        <v>205</v>
      </c>
      <c r="O55" s="149"/>
      <c r="P55" s="140" t="s">
        <v>136</v>
      </c>
      <c r="Q55" s="140" t="s">
        <v>208</v>
      </c>
    </row>
    <row r="56" spans="3:17">
      <c r="C56" s="154">
        <v>262</v>
      </c>
      <c r="D56" s="144">
        <f t="shared" si="4"/>
        <v>175.95217915938551</v>
      </c>
      <c r="E56" s="145">
        <f t="shared" si="5"/>
        <v>0.67157320289841793</v>
      </c>
      <c r="F56" s="152">
        <f t="shared" si="6"/>
        <v>247.94272571382922</v>
      </c>
      <c r="G56" s="155">
        <f>F56/C56</f>
        <v>0.94634628135049326</v>
      </c>
      <c r="M56" s="153" t="s">
        <v>207</v>
      </c>
      <c r="N56" s="139" t="s">
        <v>136</v>
      </c>
      <c r="O56" s="139" t="s">
        <v>208</v>
      </c>
      <c r="P56" s="146">
        <v>133</v>
      </c>
      <c r="Q56" s="146">
        <f t="shared" ref="Q56:Q68" si="8">1.5*P56</f>
        <v>199.5</v>
      </c>
    </row>
    <row r="57" spans="3:17">
      <c r="C57" s="143">
        <v>400</v>
      </c>
      <c r="D57" s="144">
        <f t="shared" si="4"/>
        <v>266.88723673954883</v>
      </c>
      <c r="E57" s="145">
        <f t="shared" si="5"/>
        <v>0.66721809184887204</v>
      </c>
      <c r="F57" s="146">
        <f t="shared" si="6"/>
        <v>374.72323160336492</v>
      </c>
      <c r="G57" s="147">
        <f t="shared" si="7"/>
        <v>0.93680807900841234</v>
      </c>
      <c r="M57" s="137">
        <v>2001</v>
      </c>
      <c r="N57" s="144">
        <v>15</v>
      </c>
      <c r="O57" s="144">
        <f t="shared" ref="O57:O69" si="9">1.5*N57</f>
        <v>22.5</v>
      </c>
      <c r="P57" s="146">
        <v>158</v>
      </c>
      <c r="Q57" s="146">
        <f t="shared" si="8"/>
        <v>237</v>
      </c>
    </row>
    <row r="58" spans="3:17">
      <c r="C58" s="143">
        <v>800</v>
      </c>
      <c r="D58" s="144">
        <f t="shared" si="4"/>
        <v>523.92627130587039</v>
      </c>
      <c r="E58" s="145">
        <f t="shared" si="5"/>
        <v>0.65490783913233797</v>
      </c>
      <c r="F58" s="146">
        <f t="shared" si="6"/>
        <v>728.1732983414189</v>
      </c>
      <c r="G58" s="147">
        <f t="shared" si="7"/>
        <v>0.91021662292677363</v>
      </c>
      <c r="M58" s="156">
        <v>2002</v>
      </c>
      <c r="N58" s="144">
        <v>14</v>
      </c>
      <c r="O58" s="144">
        <f t="shared" si="9"/>
        <v>21</v>
      </c>
      <c r="P58" s="146">
        <v>167</v>
      </c>
      <c r="Q58" s="146">
        <f>1.5*P58</f>
        <v>250.5</v>
      </c>
    </row>
    <row r="59" spans="3:17">
      <c r="C59" s="143">
        <v>1600</v>
      </c>
      <c r="D59" s="144">
        <f t="shared" si="4"/>
        <v>1010.562545609863</v>
      </c>
      <c r="E59" s="145">
        <f t="shared" si="5"/>
        <v>0.63160159100616442</v>
      </c>
      <c r="F59" s="146">
        <f t="shared" si="6"/>
        <v>1378.1107805780841</v>
      </c>
      <c r="G59" s="147">
        <f t="shared" si="7"/>
        <v>0.8613192378613026</v>
      </c>
      <c r="M59" s="156">
        <v>2003</v>
      </c>
      <c r="N59" s="144">
        <v>29</v>
      </c>
      <c r="O59" s="144">
        <f t="shared" si="9"/>
        <v>43.5</v>
      </c>
      <c r="P59" s="146">
        <v>96</v>
      </c>
      <c r="Q59" s="146">
        <f t="shared" si="8"/>
        <v>144</v>
      </c>
    </row>
    <row r="60" spans="3:17">
      <c r="C60" s="143">
        <v>3200</v>
      </c>
      <c r="D60" s="144">
        <f t="shared" si="4"/>
        <v>1886.8314991624929</v>
      </c>
      <c r="E60" s="145">
        <f t="shared" si="5"/>
        <v>0.58963484348827899</v>
      </c>
      <c r="F60" s="146">
        <f t="shared" si="6"/>
        <v>2488.8197680220901</v>
      </c>
      <c r="G60" s="147">
        <f t="shared" si="7"/>
        <v>0.77775617750690318</v>
      </c>
      <c r="M60" s="156">
        <v>2004</v>
      </c>
      <c r="N60" s="144">
        <v>185</v>
      </c>
      <c r="O60" s="144">
        <f t="shared" si="9"/>
        <v>277.5</v>
      </c>
      <c r="P60" s="146">
        <v>74</v>
      </c>
      <c r="Q60" s="146">
        <f t="shared" si="8"/>
        <v>111</v>
      </c>
    </row>
    <row r="61" spans="3:17">
      <c r="C61" s="137" t="s">
        <v>209</v>
      </c>
      <c r="D61" s="137"/>
      <c r="E61" s="137"/>
      <c r="F61" s="137"/>
      <c r="G61" s="137"/>
      <c r="M61" s="156">
        <v>2005</v>
      </c>
      <c r="N61" s="144">
        <v>90</v>
      </c>
      <c r="O61" s="144">
        <f t="shared" si="9"/>
        <v>135</v>
      </c>
      <c r="P61" s="146">
        <v>117</v>
      </c>
      <c r="Q61" s="146">
        <f t="shared" si="8"/>
        <v>175.5</v>
      </c>
    </row>
    <row r="62" spans="3:17">
      <c r="C62" s="137"/>
      <c r="D62" s="137"/>
      <c r="E62" s="137"/>
      <c r="F62" s="137"/>
      <c r="G62" s="137"/>
      <c r="M62" s="156">
        <v>2006</v>
      </c>
      <c r="N62" s="144">
        <v>18</v>
      </c>
      <c r="O62" s="144">
        <f t="shared" si="9"/>
        <v>27</v>
      </c>
      <c r="P62" s="146">
        <v>59</v>
      </c>
      <c r="Q62" s="146">
        <f t="shared" si="8"/>
        <v>88.5</v>
      </c>
    </row>
    <row r="63" spans="3:17">
      <c r="M63" s="156">
        <v>2007</v>
      </c>
      <c r="N63" s="144">
        <v>1</v>
      </c>
      <c r="O63" s="144">
        <f t="shared" si="9"/>
        <v>1.5</v>
      </c>
      <c r="P63" s="146">
        <v>101</v>
      </c>
      <c r="Q63" s="146">
        <f t="shared" si="8"/>
        <v>151.5</v>
      </c>
    </row>
    <row r="64" spans="3:17">
      <c r="M64" s="156">
        <v>2008</v>
      </c>
      <c r="N64" s="144">
        <v>32</v>
      </c>
      <c r="O64" s="144">
        <f t="shared" si="9"/>
        <v>48</v>
      </c>
      <c r="P64" s="146">
        <v>89</v>
      </c>
      <c r="Q64" s="146">
        <f t="shared" si="8"/>
        <v>133.5</v>
      </c>
    </row>
    <row r="65" spans="13:17">
      <c r="M65" s="156">
        <v>2009</v>
      </c>
      <c r="N65" s="144">
        <v>52</v>
      </c>
      <c r="O65" s="144">
        <f t="shared" si="9"/>
        <v>78</v>
      </c>
      <c r="P65" s="146">
        <v>368</v>
      </c>
      <c r="Q65" s="146">
        <f t="shared" si="8"/>
        <v>552</v>
      </c>
    </row>
    <row r="66" spans="13:17">
      <c r="M66" s="156">
        <v>2010</v>
      </c>
      <c r="N66" s="144">
        <v>360</v>
      </c>
      <c r="O66" s="144">
        <f t="shared" si="9"/>
        <v>540</v>
      </c>
      <c r="P66" s="146">
        <v>444</v>
      </c>
      <c r="Q66" s="146">
        <f t="shared" si="8"/>
        <v>666</v>
      </c>
    </row>
    <row r="67" spans="13:17">
      <c r="M67" s="156">
        <v>2011</v>
      </c>
      <c r="N67" s="144">
        <v>227</v>
      </c>
      <c r="O67" s="144">
        <f t="shared" si="9"/>
        <v>340.5</v>
      </c>
      <c r="P67" s="146">
        <v>237</v>
      </c>
      <c r="Q67" s="146">
        <f t="shared" si="8"/>
        <v>355.5</v>
      </c>
    </row>
    <row r="68" spans="13:17">
      <c r="M68" s="156">
        <v>2012</v>
      </c>
      <c r="N68" s="144">
        <v>97</v>
      </c>
      <c r="O68" s="144">
        <f t="shared" si="9"/>
        <v>145.5</v>
      </c>
      <c r="P68" s="146">
        <v>110</v>
      </c>
      <c r="Q68" s="146">
        <f t="shared" si="8"/>
        <v>165</v>
      </c>
    </row>
    <row r="69" spans="13:17">
      <c r="M69" s="156">
        <v>2013</v>
      </c>
      <c r="N69" s="144">
        <v>50</v>
      </c>
      <c r="O69" s="144">
        <f t="shared" si="9"/>
        <v>75</v>
      </c>
      <c r="P69" s="159"/>
      <c r="Q69" s="158">
        <f>AVERAGE(Q56:Q68)</f>
        <v>248.42307692307693</v>
      </c>
    </row>
    <row r="70" spans="13:17">
      <c r="M70" s="156"/>
      <c r="N70" s="157" t="s">
        <v>210</v>
      </c>
      <c r="O70" s="158">
        <f>AVERAGE(O57:O69)</f>
        <v>135</v>
      </c>
      <c r="P70" s="159"/>
      <c r="Q70" s="158">
        <f>Q69/N47</f>
        <v>261.719943473093</v>
      </c>
    </row>
    <row r="71" spans="13:17">
      <c r="M71" s="156"/>
      <c r="N71" s="157" t="s">
        <v>211</v>
      </c>
      <c r="O71" s="158">
        <f>O70/O47</f>
        <v>199.11135384931944</v>
      </c>
      <c r="P71" s="160"/>
      <c r="Q71" s="160"/>
    </row>
    <row r="72" spans="13:17">
      <c r="M72" s="160"/>
      <c r="N72" s="160"/>
      <c r="O72" s="160"/>
      <c r="P72" s="137"/>
      <c r="Q72" s="137"/>
    </row>
    <row r="73" spans="13:17">
      <c r="M73" s="137"/>
      <c r="N73" s="137"/>
      <c r="O73" s="137"/>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18</vt:i4>
      </vt:variant>
    </vt:vector>
  </HeadingPairs>
  <TitlesOfParts>
    <vt:vector size="18" baseType="lpstr">
      <vt:lpstr>Model</vt:lpstr>
      <vt:lpstr>Inputs</vt:lpstr>
      <vt:lpstr>Settings</vt:lpstr>
      <vt:lpstr>Scenarios</vt:lpstr>
      <vt:lpstr>Fry_Parr_p</vt:lpstr>
      <vt:lpstr>Fry_Parr_c</vt:lpstr>
      <vt:lpstr>older_Fry_Parr_p</vt:lpstr>
      <vt:lpstr>Fry_Parr_abund</vt:lpstr>
      <vt:lpstr>UpdatedEstimates</vt:lpstr>
      <vt:lpstr>Parr_PreSmolt</vt:lpstr>
      <vt:lpstr>PreSmolt_LGDSmolt_p</vt:lpstr>
      <vt:lpstr>SAR</vt:lpstr>
      <vt:lpstr>old_SAR</vt:lpstr>
      <vt:lpstr>Spawner_Egg_p</vt:lpstr>
      <vt:lpstr>Spawner_Egg_c</vt:lpstr>
      <vt:lpstr>TotalBrood_HatchRelease</vt:lpstr>
      <vt:lpstr>HatchRelease_LGDSmolt</vt:lpstr>
      <vt:lpstr>PassedAdult_Spawner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Nick</dc:creator>
  <cp:lastModifiedBy>Nick</cp:lastModifiedBy>
  <dcterms:created xsi:type="dcterms:W3CDTF">2018-02-13T22:03:50Z</dcterms:created>
  <dcterms:modified xsi:type="dcterms:W3CDTF">2018-10-11T21:32:52Z</dcterms:modified>
</cp:coreProperties>
</file>